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L12296\Desktop\"/>
    </mc:Choice>
  </mc:AlternateContent>
  <xr:revisionPtr revIDLastSave="0" documentId="13_ncr:1_{1D0592C2-F648-448B-A5F4-0E1539EA19C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ingabedaten" sheetId="2" r:id="rId1"/>
    <sheet name="KOPIERVORLAGE" sheetId="4" r:id="rId2"/>
    <sheet name="Oktober" sheetId="5" r:id="rId3"/>
    <sheet name="November" sheetId="8" r:id="rId4"/>
    <sheet name="Dezember" sheetId="6" r:id="rId5"/>
    <sheet name="PRINT KW40" sheetId="3" state="hidden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8" i="8" l="1"/>
  <c r="B47" i="8"/>
  <c r="C14" i="8"/>
  <c r="C15" i="8" s="1"/>
  <c r="B14" i="8"/>
  <c r="E14" i="8" s="1"/>
  <c r="F9" i="8"/>
  <c r="F3" i="8"/>
  <c r="H29" i="5"/>
  <c r="H27" i="5"/>
  <c r="D19" i="5"/>
  <c r="E19" i="5"/>
  <c r="D20" i="5"/>
  <c r="E20" i="5"/>
  <c r="D21" i="5"/>
  <c r="E21" i="5"/>
  <c r="D22" i="5"/>
  <c r="E22" i="5"/>
  <c r="D23" i="5"/>
  <c r="E23" i="5"/>
  <c r="F19" i="5"/>
  <c r="F20" i="5"/>
  <c r="F21" i="5"/>
  <c r="F22" i="5"/>
  <c r="F23" i="5"/>
  <c r="F48" i="6"/>
  <c r="B47" i="6"/>
  <c r="C14" i="6"/>
  <c r="C15" i="6" s="1"/>
  <c r="F9" i="6"/>
  <c r="F3" i="6"/>
  <c r="F48" i="5"/>
  <c r="B47" i="5"/>
  <c r="C15" i="5"/>
  <c r="C16" i="5" s="1"/>
  <c r="B15" i="5"/>
  <c r="C14" i="5"/>
  <c r="B14" i="5"/>
  <c r="E14" i="5" s="1"/>
  <c r="F9" i="5"/>
  <c r="F3" i="5"/>
  <c r="C14" i="4"/>
  <c r="C15" i="4" s="1"/>
  <c r="F48" i="4"/>
  <c r="B47" i="4"/>
  <c r="F9" i="4"/>
  <c r="F3" i="4"/>
  <c r="F21" i="3"/>
  <c r="F44" i="3"/>
  <c r="G14" i="3"/>
  <c r="G15" i="3"/>
  <c r="G16" i="3"/>
  <c r="G17" i="3"/>
  <c r="G13" i="3"/>
  <c r="F15" i="3"/>
  <c r="F16" i="3" s="1"/>
  <c r="F17" i="3" s="1"/>
  <c r="F14" i="3"/>
  <c r="E15" i="3"/>
  <c r="E16" i="3" s="1"/>
  <c r="E17" i="3" s="1"/>
  <c r="E14" i="3"/>
  <c r="D15" i="3"/>
  <c r="D16" i="3" s="1"/>
  <c r="D17" i="3" s="1"/>
  <c r="D14" i="3"/>
  <c r="B43" i="3"/>
  <c r="F37" i="3"/>
  <c r="F38" i="3" s="1"/>
  <c r="F39" i="3" s="1"/>
  <c r="F40" i="3" s="1"/>
  <c r="E37" i="3"/>
  <c r="E38" i="3" s="1"/>
  <c r="D37" i="3"/>
  <c r="D38" i="3" s="1"/>
  <c r="D39" i="3" s="1"/>
  <c r="D40" i="3" s="1"/>
  <c r="G36" i="3"/>
  <c r="C34" i="3"/>
  <c r="C36" i="3" s="1"/>
  <c r="C37" i="3" s="1"/>
  <c r="C38" i="3" s="1"/>
  <c r="C39" i="3" s="1"/>
  <c r="C40" i="3" s="1"/>
  <c r="B29" i="3"/>
  <c r="B28" i="3"/>
  <c r="B27" i="3"/>
  <c r="B20" i="3"/>
  <c r="G19" i="3"/>
  <c r="C13" i="3"/>
  <c r="C14" i="3" s="1"/>
  <c r="C15" i="3" s="1"/>
  <c r="C16" i="3" s="1"/>
  <c r="C17" i="3" s="1"/>
  <c r="F8" i="3"/>
  <c r="F31" i="3" s="1"/>
  <c r="F4" i="3"/>
  <c r="F27" i="3" s="1"/>
  <c r="C16" i="6" l="1"/>
  <c r="B15" i="6"/>
  <c r="D15" i="6" s="1"/>
  <c r="B14" i="6"/>
  <c r="E14" i="6" s="1"/>
  <c r="C16" i="8"/>
  <c r="B15" i="8"/>
  <c r="E15" i="8" s="1"/>
  <c r="G15" i="8" s="1"/>
  <c r="B16" i="8"/>
  <c r="C17" i="8"/>
  <c r="F14" i="8"/>
  <c r="D14" i="8"/>
  <c r="G14" i="8"/>
  <c r="B16" i="6"/>
  <c r="C17" i="6"/>
  <c r="B16" i="5"/>
  <c r="C17" i="5"/>
  <c r="D15" i="5"/>
  <c r="F14" i="5"/>
  <c r="G14" i="5"/>
  <c r="E15" i="5"/>
  <c r="G15" i="5" s="1"/>
  <c r="F15" i="5"/>
  <c r="D14" i="5"/>
  <c r="C16" i="4"/>
  <c r="B15" i="4"/>
  <c r="B14" i="4"/>
  <c r="F46" i="3"/>
  <c r="B46" i="3"/>
  <c r="C41" i="3"/>
  <c r="E39" i="3"/>
  <c r="G38" i="3"/>
  <c r="C18" i="3"/>
  <c r="B23" i="3"/>
  <c r="F23" i="3"/>
  <c r="G37" i="3"/>
  <c r="D14" i="6" l="1"/>
  <c r="F14" i="6"/>
  <c r="F15" i="6"/>
  <c r="E15" i="6"/>
  <c r="G15" i="6" s="1"/>
  <c r="F15" i="8"/>
  <c r="D15" i="8"/>
  <c r="B17" i="8"/>
  <c r="C18" i="8"/>
  <c r="E16" i="8"/>
  <c r="F16" i="8"/>
  <c r="D16" i="8"/>
  <c r="G16" i="8" s="1"/>
  <c r="C18" i="6"/>
  <c r="B17" i="6"/>
  <c r="E16" i="6"/>
  <c r="D16" i="6"/>
  <c r="F16" i="6"/>
  <c r="G16" i="6"/>
  <c r="C18" i="5"/>
  <c r="B17" i="5"/>
  <c r="E16" i="5"/>
  <c r="D16" i="5"/>
  <c r="G16" i="5"/>
  <c r="F16" i="5"/>
  <c r="F14" i="4"/>
  <c r="D14" i="4"/>
  <c r="E14" i="4"/>
  <c r="E15" i="4"/>
  <c r="F15" i="4"/>
  <c r="D15" i="4"/>
  <c r="C17" i="4"/>
  <c r="B16" i="4"/>
  <c r="G39" i="3"/>
  <c r="G42" i="3" s="1"/>
  <c r="E40" i="3"/>
  <c r="G40" i="3" s="1"/>
  <c r="G14" i="6" l="1"/>
  <c r="B18" i="8"/>
  <c r="C19" i="8"/>
  <c r="F17" i="8"/>
  <c r="E17" i="8"/>
  <c r="G17" i="8" s="1"/>
  <c r="D17" i="8"/>
  <c r="F17" i="6"/>
  <c r="E17" i="6"/>
  <c r="G17" i="6" s="1"/>
  <c r="D17" i="6"/>
  <c r="B18" i="6"/>
  <c r="C19" i="6"/>
  <c r="G17" i="5"/>
  <c r="F17" i="5"/>
  <c r="E17" i="5"/>
  <c r="D17" i="5"/>
  <c r="B18" i="5"/>
  <c r="C19" i="5"/>
  <c r="G14" i="4"/>
  <c r="G15" i="4"/>
  <c r="F16" i="4"/>
  <c r="D16" i="4"/>
  <c r="E16" i="4"/>
  <c r="G16" i="4" s="1"/>
  <c r="C18" i="4"/>
  <c r="B17" i="4"/>
  <c r="C20" i="8" l="1"/>
  <c r="B19" i="8"/>
  <c r="E18" i="8"/>
  <c r="D18" i="8"/>
  <c r="F18" i="8"/>
  <c r="G18" i="8" s="1"/>
  <c r="C20" i="6"/>
  <c r="B19" i="6"/>
  <c r="E18" i="6"/>
  <c r="D18" i="6"/>
  <c r="G18" i="6" s="1"/>
  <c r="F18" i="6"/>
  <c r="C20" i="5"/>
  <c r="B19" i="5"/>
  <c r="E18" i="5"/>
  <c r="D18" i="5"/>
  <c r="F18" i="5"/>
  <c r="G18" i="5"/>
  <c r="E17" i="4"/>
  <c r="F17" i="4"/>
  <c r="D17" i="4"/>
  <c r="B18" i="4"/>
  <c r="C19" i="4"/>
  <c r="F19" i="8" l="1"/>
  <c r="E19" i="8"/>
  <c r="G19" i="8" s="1"/>
  <c r="D19" i="8"/>
  <c r="B20" i="8"/>
  <c r="C21" i="8"/>
  <c r="F19" i="6"/>
  <c r="E19" i="6"/>
  <c r="G19" i="6" s="1"/>
  <c r="D19" i="6"/>
  <c r="B20" i="6"/>
  <c r="C21" i="6"/>
  <c r="G17" i="4"/>
  <c r="G19" i="5"/>
  <c r="B20" i="5"/>
  <c r="C21" i="5"/>
  <c r="D18" i="4"/>
  <c r="F18" i="4"/>
  <c r="E18" i="4"/>
  <c r="G18" i="4" s="1"/>
  <c r="C20" i="4"/>
  <c r="B19" i="4"/>
  <c r="E20" i="8" l="1"/>
  <c r="D20" i="8"/>
  <c r="F20" i="8"/>
  <c r="G20" i="8"/>
  <c r="B21" i="8"/>
  <c r="C22" i="8"/>
  <c r="E20" i="6"/>
  <c r="D20" i="6"/>
  <c r="F20" i="6"/>
  <c r="G20" i="6"/>
  <c r="B21" i="6"/>
  <c r="C22" i="6"/>
  <c r="G20" i="5"/>
  <c r="C22" i="5"/>
  <c r="B21" i="5"/>
  <c r="F19" i="4"/>
  <c r="D19" i="4"/>
  <c r="E19" i="4"/>
  <c r="C21" i="4"/>
  <c r="B20" i="4"/>
  <c r="F21" i="8" l="1"/>
  <c r="E21" i="8"/>
  <c r="G21" i="8" s="1"/>
  <c r="D21" i="8"/>
  <c r="B22" i="8"/>
  <c r="C23" i="8"/>
  <c r="F21" i="6"/>
  <c r="E21" i="6"/>
  <c r="G21" i="6" s="1"/>
  <c r="D21" i="6"/>
  <c r="B22" i="6"/>
  <c r="C23" i="6"/>
  <c r="G19" i="4"/>
  <c r="G21" i="5"/>
  <c r="B22" i="5"/>
  <c r="C23" i="5"/>
  <c r="F20" i="4"/>
  <c r="D20" i="4"/>
  <c r="E20" i="4"/>
  <c r="C22" i="4"/>
  <c r="B21" i="4"/>
  <c r="C24" i="8" l="1"/>
  <c r="B23" i="8"/>
  <c r="E22" i="8"/>
  <c r="F22" i="8"/>
  <c r="D22" i="8"/>
  <c r="G22" i="8" s="1"/>
  <c r="C24" i="6"/>
  <c r="B23" i="6"/>
  <c r="E22" i="6"/>
  <c r="D22" i="6"/>
  <c r="G22" i="6" s="1"/>
  <c r="F22" i="6"/>
  <c r="G22" i="5"/>
  <c r="C24" i="5"/>
  <c r="B23" i="5"/>
  <c r="G20" i="4"/>
  <c r="F21" i="4"/>
  <c r="D21" i="4"/>
  <c r="E21" i="4"/>
  <c r="G21" i="4" s="1"/>
  <c r="C23" i="4"/>
  <c r="B22" i="4"/>
  <c r="F23" i="8" l="1"/>
  <c r="E23" i="8"/>
  <c r="D23" i="8"/>
  <c r="B24" i="8"/>
  <c r="C25" i="8"/>
  <c r="F23" i="6"/>
  <c r="E23" i="6"/>
  <c r="G23" i="6" s="1"/>
  <c r="D23" i="6"/>
  <c r="B24" i="6"/>
  <c r="C25" i="6"/>
  <c r="B24" i="5"/>
  <c r="C25" i="5"/>
  <c r="G23" i="5"/>
  <c r="F22" i="4"/>
  <c r="E22" i="4"/>
  <c r="D22" i="4"/>
  <c r="C24" i="4"/>
  <c r="B23" i="4"/>
  <c r="G23" i="8" l="1"/>
  <c r="E24" i="8"/>
  <c r="D24" i="8"/>
  <c r="G24" i="8" s="1"/>
  <c r="F24" i="8"/>
  <c r="C26" i="8"/>
  <c r="B25" i="8"/>
  <c r="C26" i="6"/>
  <c r="B25" i="6"/>
  <c r="E24" i="6"/>
  <c r="G24" i="6" s="1"/>
  <c r="D24" i="6"/>
  <c r="F24" i="6"/>
  <c r="C26" i="5"/>
  <c r="B25" i="5"/>
  <c r="E24" i="5"/>
  <c r="D24" i="5"/>
  <c r="F24" i="5"/>
  <c r="G24" i="5"/>
  <c r="G22" i="4"/>
  <c r="F23" i="4"/>
  <c r="D23" i="4"/>
  <c r="E23" i="4"/>
  <c r="G23" i="4" s="1"/>
  <c r="C25" i="4"/>
  <c r="B24" i="4"/>
  <c r="B26" i="8" l="1"/>
  <c r="C27" i="8"/>
  <c r="F25" i="8"/>
  <c r="E25" i="8"/>
  <c r="G25" i="8" s="1"/>
  <c r="D25" i="8"/>
  <c r="F25" i="6"/>
  <c r="E25" i="6"/>
  <c r="G25" i="6" s="1"/>
  <c r="D25" i="6"/>
  <c r="B26" i="6"/>
  <c r="C27" i="6"/>
  <c r="G25" i="5"/>
  <c r="F25" i="5"/>
  <c r="E25" i="5"/>
  <c r="D25" i="5"/>
  <c r="B26" i="5"/>
  <c r="C27" i="5"/>
  <c r="E24" i="4"/>
  <c r="F24" i="4"/>
  <c r="D24" i="4"/>
  <c r="C26" i="4"/>
  <c r="B25" i="4"/>
  <c r="C28" i="8" l="1"/>
  <c r="B27" i="8"/>
  <c r="E26" i="8"/>
  <c r="D26" i="8"/>
  <c r="F26" i="8"/>
  <c r="G26" i="8"/>
  <c r="E26" i="6"/>
  <c r="D26" i="6"/>
  <c r="F26" i="6"/>
  <c r="G26" i="6" s="1"/>
  <c r="B27" i="6"/>
  <c r="C28" i="6"/>
  <c r="G24" i="4"/>
  <c r="C28" i="5"/>
  <c r="B27" i="5"/>
  <c r="G26" i="5"/>
  <c r="C27" i="4"/>
  <c r="B26" i="4"/>
  <c r="E25" i="4"/>
  <c r="F25" i="4"/>
  <c r="D25" i="4"/>
  <c r="F27" i="8" l="1"/>
  <c r="E27" i="8"/>
  <c r="D27" i="8"/>
  <c r="B28" i="8"/>
  <c r="C29" i="8"/>
  <c r="F27" i="6"/>
  <c r="E27" i="6"/>
  <c r="G27" i="6" s="1"/>
  <c r="D27" i="6"/>
  <c r="B28" i="6"/>
  <c r="C29" i="6"/>
  <c r="G25" i="4"/>
  <c r="G27" i="5"/>
  <c r="B28" i="5"/>
  <c r="C29" i="5"/>
  <c r="E26" i="4"/>
  <c r="D26" i="4"/>
  <c r="F26" i="4"/>
  <c r="C28" i="4"/>
  <c r="B27" i="4"/>
  <c r="G27" i="8" l="1"/>
  <c r="E28" i="8"/>
  <c r="D28" i="8"/>
  <c r="G28" i="8" s="1"/>
  <c r="F28" i="8"/>
  <c r="B29" i="8"/>
  <c r="C30" i="8"/>
  <c r="C30" i="6"/>
  <c r="B29" i="6"/>
  <c r="E28" i="6"/>
  <c r="D28" i="6"/>
  <c r="G28" i="6"/>
  <c r="F28" i="6"/>
  <c r="C30" i="5"/>
  <c r="B29" i="5"/>
  <c r="G28" i="5"/>
  <c r="G26" i="4"/>
  <c r="D27" i="4"/>
  <c r="E27" i="4"/>
  <c r="F27" i="4"/>
  <c r="C29" i="4"/>
  <c r="B28" i="4"/>
  <c r="F29" i="8" l="1"/>
  <c r="E29" i="8"/>
  <c r="G29" i="8" s="1"/>
  <c r="D29" i="8"/>
  <c r="B30" i="8"/>
  <c r="C31" i="8"/>
  <c r="F29" i="6"/>
  <c r="E29" i="6"/>
  <c r="G29" i="6" s="1"/>
  <c r="D29" i="6"/>
  <c r="B30" i="6"/>
  <c r="C31" i="6"/>
  <c r="G29" i="5"/>
  <c r="B30" i="5"/>
  <c r="C31" i="5"/>
  <c r="G27" i="4"/>
  <c r="C30" i="4"/>
  <c r="B29" i="4"/>
  <c r="D28" i="4"/>
  <c r="E28" i="4"/>
  <c r="G28" i="4" s="1"/>
  <c r="F28" i="4"/>
  <c r="C32" i="8" l="1"/>
  <c r="B31" i="8"/>
  <c r="E30" i="8"/>
  <c r="F30" i="8"/>
  <c r="D30" i="8"/>
  <c r="G30" i="8" s="1"/>
  <c r="C32" i="6"/>
  <c r="B31" i="6"/>
  <c r="E30" i="6"/>
  <c r="D30" i="6"/>
  <c r="F30" i="6"/>
  <c r="G30" i="6" s="1"/>
  <c r="C32" i="5"/>
  <c r="B31" i="5"/>
  <c r="G30" i="5"/>
  <c r="F29" i="4"/>
  <c r="D29" i="4"/>
  <c r="E29" i="4"/>
  <c r="G29" i="4" s="1"/>
  <c r="C31" i="4"/>
  <c r="B30" i="4"/>
  <c r="F31" i="8" l="1"/>
  <c r="E31" i="8"/>
  <c r="G31" i="8" s="1"/>
  <c r="D31" i="8"/>
  <c r="B32" i="8"/>
  <c r="C33" i="8"/>
  <c r="F31" i="6"/>
  <c r="E31" i="6"/>
  <c r="G31" i="6" s="1"/>
  <c r="D31" i="6"/>
  <c r="B32" i="6"/>
  <c r="C33" i="6"/>
  <c r="G31" i="5"/>
  <c r="F31" i="5"/>
  <c r="E31" i="5"/>
  <c r="D31" i="5"/>
  <c r="B32" i="5"/>
  <c r="C33" i="5"/>
  <c r="D30" i="4"/>
  <c r="F30" i="4"/>
  <c r="E30" i="4"/>
  <c r="C32" i="4"/>
  <c r="B31" i="4"/>
  <c r="E32" i="8" l="1"/>
  <c r="D32" i="8"/>
  <c r="G32" i="8" s="1"/>
  <c r="F32" i="8"/>
  <c r="C34" i="8"/>
  <c r="B33" i="8"/>
  <c r="E32" i="6"/>
  <c r="D32" i="6"/>
  <c r="G32" i="6" s="1"/>
  <c r="F32" i="6"/>
  <c r="C34" i="6"/>
  <c r="B33" i="6"/>
  <c r="C34" i="5"/>
  <c r="B33" i="5"/>
  <c r="E32" i="5"/>
  <c r="D32" i="5"/>
  <c r="G32" i="5"/>
  <c r="F32" i="5"/>
  <c r="G30" i="4"/>
  <c r="B32" i="4"/>
  <c r="C33" i="4"/>
  <c r="F31" i="4"/>
  <c r="D31" i="4"/>
  <c r="E31" i="4"/>
  <c r="G31" i="4" s="1"/>
  <c r="F33" i="8" l="1"/>
  <c r="E33" i="8"/>
  <c r="G33" i="8" s="1"/>
  <c r="D33" i="8"/>
  <c r="B34" i="8"/>
  <c r="C35" i="8"/>
  <c r="B34" i="6"/>
  <c r="C35" i="6"/>
  <c r="F33" i="6"/>
  <c r="E33" i="6"/>
  <c r="G33" i="6" s="1"/>
  <c r="D33" i="6"/>
  <c r="F33" i="5"/>
  <c r="E33" i="5"/>
  <c r="G33" i="5" s="1"/>
  <c r="D33" i="5"/>
  <c r="B34" i="5"/>
  <c r="C35" i="5"/>
  <c r="B33" i="4"/>
  <c r="C34" i="4"/>
  <c r="D32" i="4"/>
  <c r="E32" i="4"/>
  <c r="G32" i="4" s="1"/>
  <c r="F32" i="4"/>
  <c r="E34" i="8" l="1"/>
  <c r="D34" i="8"/>
  <c r="G34" i="8" s="1"/>
  <c r="F34" i="8"/>
  <c r="C36" i="8"/>
  <c r="B35" i="8"/>
  <c r="B35" i="6"/>
  <c r="C36" i="6"/>
  <c r="E34" i="6"/>
  <c r="D34" i="6"/>
  <c r="G34" i="6" s="1"/>
  <c r="F34" i="6"/>
  <c r="C36" i="5"/>
  <c r="B35" i="5"/>
  <c r="E34" i="5"/>
  <c r="D34" i="5"/>
  <c r="F34" i="5"/>
  <c r="G34" i="5"/>
  <c r="C35" i="4"/>
  <c r="B34" i="4"/>
  <c r="D33" i="4"/>
  <c r="F33" i="4"/>
  <c r="E33" i="4"/>
  <c r="B36" i="8" l="1"/>
  <c r="C37" i="8"/>
  <c r="F35" i="8"/>
  <c r="E35" i="8"/>
  <c r="G35" i="8" s="1"/>
  <c r="D35" i="8"/>
  <c r="B36" i="6"/>
  <c r="C37" i="6"/>
  <c r="F35" i="6"/>
  <c r="E35" i="6"/>
  <c r="D35" i="6"/>
  <c r="F35" i="5"/>
  <c r="E35" i="5"/>
  <c r="G35" i="5" s="1"/>
  <c r="D35" i="5"/>
  <c r="B36" i="5"/>
  <c r="C37" i="5"/>
  <c r="G33" i="4"/>
  <c r="F34" i="4"/>
  <c r="D34" i="4"/>
  <c r="E34" i="4"/>
  <c r="C36" i="4"/>
  <c r="B35" i="4"/>
  <c r="G35" i="6" l="1"/>
  <c r="C38" i="8"/>
  <c r="B37" i="8"/>
  <c r="E36" i="8"/>
  <c r="D36" i="8"/>
  <c r="G36" i="8" s="1"/>
  <c r="F36" i="8"/>
  <c r="C38" i="6"/>
  <c r="B37" i="6"/>
  <c r="E36" i="6"/>
  <c r="D36" i="6"/>
  <c r="G36" i="6" s="1"/>
  <c r="F36" i="6"/>
  <c r="G34" i="4"/>
  <c r="E36" i="5"/>
  <c r="D36" i="5"/>
  <c r="F36" i="5"/>
  <c r="G36" i="5"/>
  <c r="C38" i="5"/>
  <c r="B37" i="5"/>
  <c r="C37" i="4"/>
  <c r="B36" i="4"/>
  <c r="F35" i="4"/>
  <c r="D35" i="4"/>
  <c r="E35" i="4"/>
  <c r="G35" i="4" s="1"/>
  <c r="F37" i="8" l="1"/>
  <c r="E37" i="8"/>
  <c r="G37" i="8" s="1"/>
  <c r="D37" i="8"/>
  <c r="B38" i="8"/>
  <c r="C39" i="8"/>
  <c r="F37" i="6"/>
  <c r="E37" i="6"/>
  <c r="D37" i="6"/>
  <c r="B38" i="6"/>
  <c r="C39" i="6"/>
  <c r="F37" i="5"/>
  <c r="E37" i="5"/>
  <c r="G37" i="5" s="1"/>
  <c r="D37" i="5"/>
  <c r="B38" i="5"/>
  <c r="C39" i="5"/>
  <c r="E36" i="4"/>
  <c r="F36" i="4"/>
  <c r="D36" i="4"/>
  <c r="C38" i="4"/>
  <c r="B37" i="4"/>
  <c r="G37" i="6" l="1"/>
  <c r="C40" i="8"/>
  <c r="B39" i="8"/>
  <c r="E38" i="8"/>
  <c r="G38" i="8" s="1"/>
  <c r="D38" i="8"/>
  <c r="F38" i="8"/>
  <c r="C40" i="6"/>
  <c r="B39" i="6"/>
  <c r="E38" i="6"/>
  <c r="D38" i="6"/>
  <c r="G38" i="6"/>
  <c r="F38" i="6"/>
  <c r="C40" i="5"/>
  <c r="B39" i="5"/>
  <c r="E38" i="5"/>
  <c r="D38" i="5"/>
  <c r="F38" i="5"/>
  <c r="G38" i="5"/>
  <c r="G36" i="4"/>
  <c r="C39" i="4"/>
  <c r="B38" i="4"/>
  <c r="E37" i="4"/>
  <c r="F37" i="4"/>
  <c r="D37" i="4"/>
  <c r="F39" i="8" l="1"/>
  <c r="E39" i="8"/>
  <c r="G39" i="8" s="1"/>
  <c r="D39" i="8"/>
  <c r="B40" i="8"/>
  <c r="C41" i="8"/>
  <c r="F39" i="6"/>
  <c r="E39" i="6"/>
  <c r="G39" i="6" s="1"/>
  <c r="D39" i="6"/>
  <c r="B40" i="6"/>
  <c r="C41" i="6"/>
  <c r="G39" i="5"/>
  <c r="F39" i="5"/>
  <c r="E39" i="5"/>
  <c r="D39" i="5"/>
  <c r="B40" i="5"/>
  <c r="C41" i="5"/>
  <c r="G37" i="4"/>
  <c r="E38" i="4"/>
  <c r="F38" i="4"/>
  <c r="D38" i="4"/>
  <c r="C40" i="4"/>
  <c r="B39" i="4"/>
  <c r="E40" i="8" l="1"/>
  <c r="D40" i="8"/>
  <c r="G40" i="8" s="1"/>
  <c r="F40" i="8"/>
  <c r="C42" i="8"/>
  <c r="B41" i="8"/>
  <c r="E40" i="6"/>
  <c r="D40" i="6"/>
  <c r="G40" i="6" s="1"/>
  <c r="F40" i="6"/>
  <c r="B41" i="6"/>
  <c r="C42" i="6"/>
  <c r="G38" i="4"/>
  <c r="C42" i="5"/>
  <c r="B41" i="5"/>
  <c r="E40" i="5"/>
  <c r="D40" i="5"/>
  <c r="F40" i="5"/>
  <c r="G40" i="5"/>
  <c r="E39" i="4"/>
  <c r="F39" i="4"/>
  <c r="D39" i="4"/>
  <c r="B40" i="4"/>
  <c r="C41" i="4"/>
  <c r="F41" i="8" l="1"/>
  <c r="E41" i="8"/>
  <c r="D41" i="8"/>
  <c r="B42" i="8"/>
  <c r="C43" i="8"/>
  <c r="B42" i="6"/>
  <c r="C43" i="6"/>
  <c r="F41" i="6"/>
  <c r="E41" i="6"/>
  <c r="G41" i="6" s="1"/>
  <c r="D41" i="6"/>
  <c r="G39" i="4"/>
  <c r="F41" i="5"/>
  <c r="E41" i="5"/>
  <c r="G41" i="5" s="1"/>
  <c r="D41" i="5"/>
  <c r="B42" i="5"/>
  <c r="C43" i="5"/>
  <c r="C42" i="4"/>
  <c r="B41" i="4"/>
  <c r="F40" i="4"/>
  <c r="E40" i="4"/>
  <c r="D40" i="4"/>
  <c r="G41" i="8" l="1"/>
  <c r="E42" i="8"/>
  <c r="F42" i="8"/>
  <c r="D42" i="8"/>
  <c r="G42" i="8" s="1"/>
  <c r="C44" i="8"/>
  <c r="B43" i="8"/>
  <c r="C44" i="6"/>
  <c r="B43" i="6"/>
  <c r="E42" i="6"/>
  <c r="D42" i="6"/>
  <c r="F42" i="6"/>
  <c r="E42" i="5"/>
  <c r="D42" i="5"/>
  <c r="F42" i="5"/>
  <c r="G42" i="5"/>
  <c r="C44" i="5"/>
  <c r="B43" i="5"/>
  <c r="G40" i="4"/>
  <c r="E41" i="4"/>
  <c r="F41" i="4"/>
  <c r="D41" i="4"/>
  <c r="C43" i="4"/>
  <c r="B42" i="4"/>
  <c r="G42" i="6" l="1"/>
  <c r="B50" i="8"/>
  <c r="F50" i="8" s="1"/>
  <c r="B44" i="8"/>
  <c r="C45" i="8"/>
  <c r="B45" i="8" s="1"/>
  <c r="F43" i="8"/>
  <c r="E43" i="8"/>
  <c r="G43" i="8" s="1"/>
  <c r="D43" i="8"/>
  <c r="F43" i="6"/>
  <c r="E43" i="6"/>
  <c r="G43" i="6" s="1"/>
  <c r="D43" i="6"/>
  <c r="B50" i="6"/>
  <c r="F50" i="6" s="1"/>
  <c r="B44" i="6"/>
  <c r="C45" i="6"/>
  <c r="B45" i="6" s="1"/>
  <c r="F43" i="5"/>
  <c r="E43" i="5"/>
  <c r="G43" i="5" s="1"/>
  <c r="D43" i="5"/>
  <c r="B50" i="5"/>
  <c r="F50" i="5" s="1"/>
  <c r="B44" i="5"/>
  <c r="C45" i="5"/>
  <c r="B45" i="5" s="1"/>
  <c r="G41" i="4"/>
  <c r="D42" i="4"/>
  <c r="E42" i="4"/>
  <c r="F42" i="4"/>
  <c r="C44" i="4"/>
  <c r="C45" i="4" s="1"/>
  <c r="B45" i="4" s="1"/>
  <c r="B43" i="4"/>
  <c r="E44" i="8" l="1"/>
  <c r="D44" i="8"/>
  <c r="G44" i="8" s="1"/>
  <c r="F44" i="8"/>
  <c r="F45" i="8"/>
  <c r="E45" i="8"/>
  <c r="D45" i="8"/>
  <c r="F45" i="6"/>
  <c r="E45" i="6"/>
  <c r="D45" i="6"/>
  <c r="E44" i="6"/>
  <c r="G44" i="6" s="1"/>
  <c r="G45" i="6" s="1"/>
  <c r="D44" i="6"/>
  <c r="F44" i="6"/>
  <c r="E44" i="5"/>
  <c r="D44" i="5"/>
  <c r="F44" i="5"/>
  <c r="G44" i="5"/>
  <c r="G45" i="5" s="1"/>
  <c r="F45" i="5"/>
  <c r="E45" i="5"/>
  <c r="D45" i="5"/>
  <c r="D45" i="4"/>
  <c r="F45" i="4"/>
  <c r="E45" i="4"/>
  <c r="G42" i="4"/>
  <c r="B44" i="4"/>
  <c r="D44" i="4" s="1"/>
  <c r="B50" i="4"/>
  <c r="F50" i="4" s="1"/>
  <c r="F43" i="4"/>
  <c r="D43" i="4"/>
  <c r="E43" i="4"/>
  <c r="G43" i="4" s="1"/>
  <c r="G45" i="8" l="1"/>
  <c r="F44" i="4"/>
  <c r="E44" i="4"/>
  <c r="G44" i="4" s="1"/>
  <c r="G45" i="4" s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4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</futureMetadata>
  <valueMetadata count="4">
    <bk>
      <rc t="1" v="0"/>
    </bk>
    <bk>
      <rc t="1" v="1"/>
    </bk>
    <bk>
      <rc t="1" v="2"/>
    </bk>
    <bk>
      <rc t="1" v="3"/>
    </bk>
  </valueMetadata>
</metadata>
</file>

<file path=xl/sharedStrings.xml><?xml version="1.0" encoding="utf-8"?>
<sst xmlns="http://schemas.openxmlformats.org/spreadsheetml/2006/main" count="252" uniqueCount="37">
  <si>
    <t>Praktikumsbetrieb</t>
  </si>
  <si>
    <t>Stundennachweis</t>
  </si>
  <si>
    <t>Name, Vorname</t>
  </si>
  <si>
    <t>KW</t>
  </si>
  <si>
    <t>Tag</t>
  </si>
  <si>
    <t>Datum</t>
  </si>
  <si>
    <t>Arbeitszeit von -bis</t>
  </si>
  <si>
    <t>Pause in min.</t>
  </si>
  <si>
    <t>Std. gesamt</t>
  </si>
  <si>
    <t>Bemerkung</t>
  </si>
  <si>
    <t>Mo</t>
  </si>
  <si>
    <t>Di</t>
  </si>
  <si>
    <t>Mi</t>
  </si>
  <si>
    <t>Do</t>
  </si>
  <si>
    <t>Fr</t>
  </si>
  <si>
    <t>Sa</t>
  </si>
  <si>
    <t>/</t>
  </si>
  <si>
    <t>Datum, Unterschrift Teilnehmer</t>
  </si>
  <si>
    <t>Datum, Stempel, Unterschrift Betrieb</t>
  </si>
  <si>
    <t>Echoscout GmbH</t>
  </si>
  <si>
    <t>Maria-Goeppert-Str. 3</t>
  </si>
  <si>
    <t>23562 Lübeck</t>
  </si>
  <si>
    <t>Lübeck</t>
  </si>
  <si>
    <t>Michael</t>
  </si>
  <si>
    <t>Sternicki</t>
  </si>
  <si>
    <t>Vorname:</t>
  </si>
  <si>
    <t>Nachname:</t>
  </si>
  <si>
    <t>Jahr:</t>
  </si>
  <si>
    <t>Praktikumsbetrieb:</t>
  </si>
  <si>
    <t>Straße:</t>
  </si>
  <si>
    <t>PLZ:</t>
  </si>
  <si>
    <t>Ort:</t>
  </si>
  <si>
    <t>Bild Header einfügen</t>
  </si>
  <si>
    <t>Bild Teilnehmerunterschrift einfügen:</t>
  </si>
  <si>
    <t>Bild AusbilderIn Unterschrift einfügen</t>
  </si>
  <si>
    <t>Keine Praktikumzeit</t>
  </si>
  <si>
    <t>Eigene Daten in weiße Felder einfügen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</si>
</sst>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h:mm;@"/>
    <numFmt numFmtId="165" formatCode="mmmm\ yyyy"/>
  </numFmts>
  <fonts count="15">
    <font>
      <sz val="11"/>
      <name val="Aptos Narrow"/>
      <scheme val="minor"/>
    </font>
    <font>
      <sz val="11"/>
      <name val="Aptos Narrow"/>
    </font>
    <font>
      <b/>
      <sz val="10"/>
      <name val="Aptos Narrow"/>
    </font>
    <font>
      <sz val="11"/>
      <name val="Aptos Narrow"/>
    </font>
    <font>
      <sz val="10"/>
      <name val="Aptos Narrow"/>
    </font>
    <font>
      <b/>
      <sz val="16"/>
      <name val="Aptos Narrow"/>
    </font>
    <font>
      <b/>
      <sz val="11"/>
      <name val="Aptos Narrow"/>
    </font>
    <font>
      <sz val="10"/>
      <name val="Aptos Narrow"/>
      <family val="2"/>
    </font>
    <font>
      <sz val="11"/>
      <name val="Aptos Narrow"/>
      <family val="2"/>
      <scheme val="minor"/>
    </font>
    <font>
      <sz val="11"/>
      <name val="Aptos Narrow"/>
      <family val="2"/>
    </font>
    <font>
      <b/>
      <sz val="16"/>
      <name val="Aptos Narrow"/>
      <family val="2"/>
    </font>
    <font>
      <b/>
      <sz val="10"/>
      <name val="Aptos Narrow"/>
      <family val="2"/>
    </font>
    <font>
      <sz val="11"/>
      <color theme="0"/>
      <name val="Aptos Narrow"/>
      <family val="2"/>
    </font>
    <font>
      <b/>
      <sz val="11"/>
      <color theme="0"/>
      <name val="Aptos Narrow"/>
      <family val="2"/>
    </font>
    <font>
      <b/>
      <sz val="20"/>
      <color rgb="FFC0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3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rgb="FF000000"/>
      </bottom>
      <diagonal/>
    </border>
    <border>
      <left/>
      <right/>
      <top style="thin">
        <color auto="1"/>
      </top>
      <bottom style="medium">
        <color rgb="FF000000"/>
      </bottom>
      <diagonal/>
    </border>
    <border>
      <left/>
      <right style="thin">
        <color auto="1"/>
      </right>
      <top style="thin">
        <color auto="1"/>
      </top>
      <bottom style="medium">
        <color rgb="FF000000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8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6" fillId="0" borderId="27" xfId="0" applyFont="1" applyBorder="1" applyAlignment="1">
      <alignment horizontal="center" vertical="center"/>
    </xf>
    <xf numFmtId="0" fontId="1" fillId="0" borderId="27" xfId="0" applyFont="1" applyBorder="1" applyAlignment="1">
      <alignment horizontal="center" vertical="center"/>
    </xf>
    <xf numFmtId="14" fontId="1" fillId="0" borderId="27" xfId="0" applyNumberFormat="1" applyFont="1" applyBorder="1" applyAlignment="1">
      <alignment horizontal="center" vertical="center"/>
    </xf>
    <xf numFmtId="20" fontId="1" fillId="0" borderId="27" xfId="0" applyNumberFormat="1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2" borderId="0" xfId="0" applyFill="1"/>
    <xf numFmtId="0" fontId="0" fillId="2" borderId="0" xfId="0" applyFill="1" applyAlignment="1">
      <alignment horizontal="right"/>
    </xf>
    <xf numFmtId="0" fontId="0" fillId="3" borderId="0" xfId="0" applyFill="1" applyAlignment="1">
      <alignment horizontal="right"/>
    </xf>
    <xf numFmtId="164" fontId="1" fillId="0" borderId="27" xfId="0" applyNumberFormat="1" applyFont="1" applyBorder="1" applyAlignment="1">
      <alignment horizontal="center" vertical="center"/>
    </xf>
    <xf numFmtId="14" fontId="7" fillId="0" borderId="30" xfId="0" applyNumberFormat="1" applyFont="1" applyBorder="1" applyAlignment="1">
      <alignment horizontal="left" vertical="center"/>
    </xf>
    <xf numFmtId="0" fontId="1" fillId="0" borderId="20" xfId="0" applyFont="1" applyBorder="1" applyAlignment="1">
      <alignment horizontal="center" vertical="center"/>
    </xf>
    <xf numFmtId="0" fontId="9" fillId="0" borderId="27" xfId="0" applyFont="1" applyBorder="1" applyAlignment="1">
      <alignment horizontal="center" vertical="center"/>
    </xf>
    <xf numFmtId="0" fontId="8" fillId="2" borderId="0" xfId="0" applyFont="1" applyFill="1"/>
    <xf numFmtId="0" fontId="0" fillId="0" borderId="20" xfId="0" applyBorder="1"/>
    <xf numFmtId="0" fontId="6" fillId="0" borderId="20" xfId="0" applyFont="1" applyBorder="1" applyAlignment="1">
      <alignment vertical="center"/>
    </xf>
    <xf numFmtId="0" fontId="11" fillId="0" borderId="20" xfId="0" applyFont="1" applyBorder="1" applyAlignment="1">
      <alignment vertical="center"/>
    </xf>
    <xf numFmtId="14" fontId="6" fillId="0" borderId="27" xfId="0" applyNumberFormat="1" applyFont="1" applyBorder="1" applyAlignment="1">
      <alignment horizontal="center" vertical="center"/>
    </xf>
    <xf numFmtId="0" fontId="0" fillId="3" borderId="0" xfId="0" applyFill="1" applyAlignment="1">
      <alignment horizontal="center"/>
    </xf>
    <xf numFmtId="0" fontId="1" fillId="0" borderId="1" xfId="0" applyFont="1" applyBorder="1" applyAlignment="1">
      <alignment horizontal="right" vertical="center"/>
    </xf>
    <xf numFmtId="0" fontId="6" fillId="0" borderId="28" xfId="0" applyFont="1" applyBorder="1" applyAlignment="1">
      <alignment horizontal="center" vertical="center"/>
    </xf>
    <xf numFmtId="0" fontId="3" fillId="0" borderId="29" xfId="0" applyFont="1" applyBorder="1"/>
    <xf numFmtId="14" fontId="7" fillId="0" borderId="30" xfId="0" applyNumberFormat="1" applyFont="1" applyBorder="1" applyAlignment="1">
      <alignment horizontal="left" vertical="center"/>
    </xf>
    <xf numFmtId="0" fontId="7" fillId="0" borderId="30" xfId="0" applyFont="1" applyBorder="1" applyAlignment="1">
      <alignment horizontal="left" vertical="center"/>
    </xf>
    <xf numFmtId="0" fontId="4" fillId="0" borderId="2" xfId="0" applyFont="1" applyBorder="1" applyAlignment="1">
      <alignment horizontal="center" vertical="center"/>
    </xf>
    <xf numFmtId="0" fontId="3" fillId="0" borderId="3" xfId="0" applyFont="1" applyBorder="1"/>
    <xf numFmtId="0" fontId="3" fillId="0" borderId="4" xfId="0" applyFont="1" applyBorder="1"/>
    <xf numFmtId="0" fontId="4" fillId="0" borderId="5" xfId="0" applyFont="1" applyBorder="1" applyAlignment="1">
      <alignment horizontal="center"/>
    </xf>
    <xf numFmtId="0" fontId="3" fillId="0" borderId="6" xfId="0" applyFont="1" applyBorder="1"/>
    <xf numFmtId="0" fontId="3" fillId="0" borderId="7" xfId="0" applyFont="1" applyBorder="1"/>
    <xf numFmtId="0" fontId="1" fillId="0" borderId="8" xfId="0" applyFont="1" applyBorder="1" applyAlignment="1">
      <alignment horizontal="center" vertical="center"/>
    </xf>
    <xf numFmtId="0" fontId="3" fillId="0" borderId="9" xfId="0" applyFont="1" applyBorder="1"/>
    <xf numFmtId="0" fontId="3" fillId="0" borderId="10" xfId="0" applyFont="1" applyBorder="1"/>
    <xf numFmtId="0" fontId="3" fillId="0" borderId="13" xfId="0" applyFont="1" applyBorder="1"/>
    <xf numFmtId="0" fontId="0" fillId="0" borderId="0" xfId="0"/>
    <xf numFmtId="0" fontId="3" fillId="0" borderId="14" xfId="0" applyFont="1" applyBorder="1"/>
    <xf numFmtId="0" fontId="3" fillId="0" borderId="18" xfId="0" applyFont="1" applyBorder="1"/>
    <xf numFmtId="0" fontId="3" fillId="0" borderId="19" xfId="0" applyFont="1" applyBorder="1"/>
    <xf numFmtId="0" fontId="3" fillId="0" borderId="20" xfId="0" applyFont="1" applyBorder="1"/>
    <xf numFmtId="0" fontId="4" fillId="0" borderId="11" xfId="0" applyFont="1" applyBorder="1" applyAlignment="1">
      <alignment horizontal="center" vertical="center"/>
    </xf>
    <xf numFmtId="0" fontId="3" fillId="0" borderId="12" xfId="0" applyFont="1" applyBorder="1"/>
    <xf numFmtId="0" fontId="4" fillId="0" borderId="15" xfId="0" applyFont="1" applyBorder="1" applyAlignment="1">
      <alignment horizontal="center" vertical="top"/>
    </xf>
    <xf numFmtId="0" fontId="3" fillId="0" borderId="16" xfId="0" applyFont="1" applyBorder="1"/>
    <xf numFmtId="0" fontId="3" fillId="0" borderId="17" xfId="0" applyFont="1" applyBorder="1"/>
    <xf numFmtId="0" fontId="5" fillId="0" borderId="8" xfId="0" applyFont="1" applyBorder="1" applyAlignment="1">
      <alignment horizontal="center" vertical="center"/>
    </xf>
    <xf numFmtId="0" fontId="3" fillId="0" borderId="24" xfId="0" applyFont="1" applyBorder="1"/>
    <xf numFmtId="0" fontId="3" fillId="0" borderId="25" xfId="0" applyFont="1" applyBorder="1"/>
    <xf numFmtId="0" fontId="3" fillId="0" borderId="26" xfId="0" applyFont="1" applyBorder="1"/>
    <xf numFmtId="0" fontId="6" fillId="0" borderId="21" xfId="0" applyFont="1" applyBorder="1" applyAlignment="1">
      <alignment horizontal="center" vertical="center"/>
    </xf>
    <xf numFmtId="0" fontId="3" fillId="0" borderId="22" xfId="0" applyFont="1" applyBorder="1"/>
    <xf numFmtId="0" fontId="3" fillId="0" borderId="23" xfId="0" applyFont="1" applyBorder="1"/>
    <xf numFmtId="0" fontId="1" fillId="0" borderId="20" xfId="0" applyFont="1" applyBorder="1" applyAlignment="1">
      <alignment horizontal="right" vertical="center"/>
    </xf>
    <xf numFmtId="0" fontId="2" fillId="0" borderId="2" xfId="0" applyFont="1" applyBorder="1" applyAlignment="1">
      <alignment horizontal="center" vertical="center"/>
    </xf>
    <xf numFmtId="165" fontId="10" fillId="0" borderId="5" xfId="0" applyNumberFormat="1" applyFont="1" applyBorder="1" applyAlignment="1">
      <alignment horizontal="center" vertical="center"/>
    </xf>
    <xf numFmtId="165" fontId="3" fillId="0" borderId="6" xfId="0" applyNumberFormat="1" applyFont="1" applyBorder="1"/>
    <xf numFmtId="165" fontId="3" fillId="0" borderId="7" xfId="0" applyNumberFormat="1" applyFont="1" applyBorder="1"/>
    <xf numFmtId="165" fontId="3" fillId="0" borderId="15" xfId="0" applyNumberFormat="1" applyFont="1" applyBorder="1"/>
    <xf numFmtId="165" fontId="3" fillId="0" borderId="16" xfId="0" applyNumberFormat="1" applyFont="1" applyBorder="1"/>
    <xf numFmtId="165" fontId="3" fillId="0" borderId="17" xfId="0" applyNumberFormat="1" applyFont="1" applyBorder="1"/>
    <xf numFmtId="0" fontId="10" fillId="0" borderId="32" xfId="0" applyFont="1" applyBorder="1" applyAlignment="1">
      <alignment horizontal="center" vertical="center"/>
    </xf>
    <xf numFmtId="0" fontId="10" fillId="0" borderId="33" xfId="0" applyFont="1" applyBorder="1" applyAlignment="1">
      <alignment horizontal="center" vertical="center"/>
    </xf>
    <xf numFmtId="0" fontId="10" fillId="0" borderId="34" xfId="0" applyFont="1" applyBorder="1" applyAlignment="1">
      <alignment horizontal="center" vertical="center"/>
    </xf>
    <xf numFmtId="0" fontId="10" fillId="0" borderId="35" xfId="0" applyFont="1" applyBorder="1" applyAlignment="1">
      <alignment horizontal="center" vertical="center"/>
    </xf>
    <xf numFmtId="0" fontId="10" fillId="0" borderId="31" xfId="0" applyFont="1" applyBorder="1" applyAlignment="1">
      <alignment horizontal="center" vertical="center"/>
    </xf>
    <xf numFmtId="0" fontId="10" fillId="0" borderId="36" xfId="0" applyFont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3" fillId="0" borderId="4" xfId="0" applyFont="1" applyBorder="1" applyAlignment="1">
      <alignment horizontal="left"/>
    </xf>
    <xf numFmtId="14" fontId="6" fillId="0" borderId="20" xfId="0" applyNumberFormat="1" applyFont="1" applyBorder="1" applyAlignment="1">
      <alignment horizontal="center" vertical="center"/>
    </xf>
    <xf numFmtId="14" fontId="1" fillId="0" borderId="20" xfId="0" applyNumberFormat="1" applyFont="1" applyBorder="1" applyAlignment="1">
      <alignment horizontal="center" vertical="center"/>
    </xf>
    <xf numFmtId="20" fontId="1" fillId="0" borderId="20" xfId="0" applyNumberFormat="1" applyFont="1" applyBorder="1" applyAlignment="1">
      <alignment horizontal="center" vertical="center"/>
    </xf>
    <xf numFmtId="0" fontId="9" fillId="0" borderId="20" xfId="0" applyFont="1" applyBorder="1" applyAlignment="1">
      <alignment horizontal="center" vertical="center"/>
    </xf>
    <xf numFmtId="14" fontId="13" fillId="0" borderId="20" xfId="0" applyNumberFormat="1" applyFont="1" applyBorder="1" applyAlignment="1">
      <alignment horizontal="center" vertical="center"/>
    </xf>
    <xf numFmtId="14" fontId="12" fillId="0" borderId="20" xfId="0" applyNumberFormat="1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20" fontId="12" fillId="0" borderId="20" xfId="0" applyNumberFormat="1" applyFont="1" applyBorder="1" applyAlignment="1">
      <alignment horizontal="center" vertical="center"/>
    </xf>
    <xf numFmtId="0" fontId="12" fillId="0" borderId="20" xfId="0" applyFont="1" applyBorder="1" applyAlignment="1">
      <alignment horizontal="center" vertical="center"/>
    </xf>
    <xf numFmtId="0" fontId="9" fillId="0" borderId="27" xfId="0" applyFont="1" applyBorder="1" applyAlignment="1">
      <alignment horizontal="left" vertical="center"/>
    </xf>
    <xf numFmtId="0" fontId="14" fillId="2" borderId="0" xfId="0" applyFont="1" applyFill="1"/>
  </cellXfs>
  <cellStyles count="1">
    <cellStyle name="Standard" xfId="0" builtinId="0"/>
  </cellStyles>
  <dxfs count="13">
    <dxf>
      <font>
        <color theme="0"/>
      </font>
    </dxf>
    <dxf>
      <border>
        <left style="thin">
          <color auto="1"/>
        </left>
        <top style="thin">
          <color auto="1"/>
        </top>
        <vertical/>
        <horizontal/>
      </border>
    </dxf>
    <dxf>
      <border>
        <right/>
        <bottom/>
        <vertical/>
        <horizontal/>
      </border>
    </dxf>
    <dxf>
      <font>
        <color theme="0"/>
      </font>
    </dxf>
    <dxf>
      <border>
        <left style="thin">
          <color auto="1"/>
        </left>
        <top style="thin">
          <color auto="1"/>
        </top>
        <vertical/>
        <horizontal/>
      </border>
    </dxf>
    <dxf>
      <border>
        <right/>
        <bottom/>
        <vertical/>
        <horizontal/>
      </border>
    </dxf>
    <dxf>
      <font>
        <color theme="0"/>
      </font>
    </dxf>
    <dxf>
      <border>
        <left style="thin">
          <color auto="1"/>
        </left>
        <top style="thin">
          <color auto="1"/>
        </top>
        <vertical/>
        <horizontal/>
      </border>
    </dxf>
    <dxf>
      <border>
        <right/>
        <bottom/>
        <vertical/>
        <horizontal/>
      </border>
    </dxf>
    <dxf>
      <font>
        <color theme="0"/>
      </font>
    </dxf>
    <dxf>
      <border>
        <left style="thin">
          <color auto="1"/>
        </left>
        <top style="thin">
          <color auto="1"/>
        </top>
        <vertical/>
        <horizontal/>
      </border>
    </dxf>
    <dxf>
      <border>
        <right/>
        <bottom/>
        <vertical/>
        <horizontal/>
      </border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microsoft.com/office/2017/06/relationships/rdRichValueStructure" Target="richData/rdrichvaluestructure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microsoft.com/office/2017/06/relationships/rdRichValue" Target="richData/rdrichvalue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22/10/relationships/richValueRel" Target="richData/richValueRel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4">
  <rv s="0">
    <v>0</v>
    <v>5</v>
  </rv>
  <rv s="0">
    <v>1</v>
    <v>5</v>
  </rv>
  <rv s="0">
    <v>0</v>
    <v>4</v>
  </rv>
  <rv s="0">
    <v>1</v>
    <v>4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</richValueRel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8ADDC0-51CD-4D7D-B4AA-6180B56CE534}">
  <dimension ref="B1:C23"/>
  <sheetViews>
    <sheetView showGridLines="0" tabSelected="1" workbookViewId="0">
      <selection activeCell="B1" sqref="B1"/>
    </sheetView>
  </sheetViews>
  <sheetFormatPr baseColWidth="10" defaultRowHeight="14.4"/>
  <cols>
    <col min="1" max="1" width="11.5546875" style="9"/>
    <col min="2" max="2" width="15.6640625" style="9" bestFit="1" customWidth="1"/>
    <col min="3" max="3" width="18.6640625" style="10" bestFit="1" customWidth="1"/>
    <col min="4" max="16384" width="11.5546875" style="9"/>
  </cols>
  <sheetData>
    <row r="1" spans="2:3" ht="25.8">
      <c r="B1" s="82" t="s">
        <v>36</v>
      </c>
    </row>
    <row r="3" spans="2:3">
      <c r="B3" s="9" t="s">
        <v>25</v>
      </c>
      <c r="C3" s="11" t="s">
        <v>23</v>
      </c>
    </row>
    <row r="4" spans="2:3">
      <c r="B4" s="9" t="s">
        <v>26</v>
      </c>
      <c r="C4" s="11" t="s">
        <v>24</v>
      </c>
    </row>
    <row r="5" spans="2:3">
      <c r="B5" s="9" t="s">
        <v>27</v>
      </c>
      <c r="C5" s="11">
        <v>2025</v>
      </c>
    </row>
    <row r="7" spans="2:3">
      <c r="B7" s="9" t="s">
        <v>28</v>
      </c>
      <c r="C7" s="11" t="s">
        <v>19</v>
      </c>
    </row>
    <row r="8" spans="2:3">
      <c r="B8" s="9" t="s">
        <v>29</v>
      </c>
      <c r="C8" s="11" t="s">
        <v>20</v>
      </c>
    </row>
    <row r="9" spans="2:3">
      <c r="B9" s="9" t="s">
        <v>30</v>
      </c>
      <c r="C9" s="11">
        <v>23562</v>
      </c>
    </row>
    <row r="10" spans="2:3">
      <c r="B10" s="9" t="s">
        <v>31</v>
      </c>
      <c r="C10" s="11" t="s">
        <v>22</v>
      </c>
    </row>
    <row r="13" spans="2:3">
      <c r="B13" s="9" t="s">
        <v>32</v>
      </c>
      <c r="C13" s="9"/>
    </row>
    <row r="14" spans="2:3">
      <c r="B14" s="21" t="e" vm="1">
        <v>#VALUE!</v>
      </c>
      <c r="C14" s="21"/>
    </row>
    <row r="15" spans="2:3">
      <c r="B15" s="21"/>
      <c r="C15" s="21"/>
    </row>
    <row r="17" spans="2:3">
      <c r="B17" s="9" t="s">
        <v>33</v>
      </c>
      <c r="C17" s="9"/>
    </row>
    <row r="18" spans="2:3">
      <c r="B18" s="21" t="e" vm="2">
        <v>#VALUE!</v>
      </c>
      <c r="C18" s="21"/>
    </row>
    <row r="19" spans="2:3">
      <c r="B19" s="21"/>
      <c r="C19" s="21"/>
    </row>
    <row r="21" spans="2:3">
      <c r="B21" s="16" t="s">
        <v>34</v>
      </c>
    </row>
    <row r="22" spans="2:3">
      <c r="B22" s="21"/>
      <c r="C22" s="21"/>
    </row>
    <row r="23" spans="2:3">
      <c r="B23" s="21"/>
      <c r="C23" s="21"/>
    </row>
  </sheetData>
  <mergeCells count="3">
    <mergeCell ref="B14:C15"/>
    <mergeCell ref="B18:C19"/>
    <mergeCell ref="B22:C23"/>
  </mergeCells>
  <pageMargins left="0.7" right="0.7" top="0.78740157499999996" bottom="0.78740157499999996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A1ACE9-9431-41B9-B22C-0B2300CEDD09}">
  <dimension ref="A1:Q103"/>
  <sheetViews>
    <sheetView workbookViewId="0">
      <selection activeCell="F9" sqref="F9:H10"/>
    </sheetView>
  </sheetViews>
  <sheetFormatPr baseColWidth="10" defaultColWidth="14.44140625" defaultRowHeight="15" customHeight="1"/>
  <cols>
    <col min="1" max="1" width="5.44140625" customWidth="1"/>
    <col min="2" max="2" width="3.44140625" customWidth="1"/>
    <col min="3" max="3" width="10.109375" bestFit="1" customWidth="1"/>
    <col min="4" max="5" width="10.5546875" customWidth="1"/>
    <col min="6" max="6" width="11.44140625" customWidth="1"/>
    <col min="7" max="7" width="10.88671875" bestFit="1" customWidth="1"/>
    <col min="8" max="8" width="9.88671875" customWidth="1"/>
    <col min="9" max="9" width="6.109375" customWidth="1"/>
    <col min="10" max="11" width="10.6640625" customWidth="1"/>
  </cols>
  <sheetData>
    <row r="1" spans="1:17" ht="14.25" customHeight="1">
      <c r="A1" s="1"/>
      <c r="B1" s="1"/>
      <c r="C1" s="1"/>
      <c r="D1" s="1"/>
      <c r="E1" s="1"/>
      <c r="F1" s="1"/>
      <c r="G1" s="1"/>
      <c r="H1" s="1"/>
      <c r="I1" s="2"/>
    </row>
    <row r="2" spans="1:17" ht="14.25" customHeight="1">
      <c r="A2" s="1"/>
      <c r="B2" s="68" t="s">
        <v>0</v>
      </c>
      <c r="C2" s="69"/>
      <c r="D2" s="70"/>
      <c r="E2" s="1"/>
      <c r="F2" s="1"/>
      <c r="G2" s="1"/>
      <c r="H2" s="1"/>
      <c r="I2" s="2"/>
    </row>
    <row r="3" spans="1:17" ht="14.25" customHeight="1">
      <c r="A3" s="1"/>
      <c r="B3" s="30" t="s">
        <v>19</v>
      </c>
      <c r="C3" s="31"/>
      <c r="D3" s="32"/>
      <c r="E3" s="1"/>
      <c r="F3" s="33" t="e" vm="3">
        <f>Eingabedaten!B14</f>
        <v>#VALUE!</v>
      </c>
      <c r="G3" s="34"/>
      <c r="H3" s="35"/>
      <c r="I3" s="2"/>
    </row>
    <row r="4" spans="1:17" ht="14.25" customHeight="1">
      <c r="A4" s="1"/>
      <c r="B4" s="42" t="s">
        <v>20</v>
      </c>
      <c r="C4" s="28"/>
      <c r="D4" s="43"/>
      <c r="E4" s="1"/>
      <c r="F4" s="36"/>
      <c r="G4" s="37"/>
      <c r="H4" s="38"/>
      <c r="I4" s="2"/>
    </row>
    <row r="5" spans="1:17" ht="14.25" customHeight="1">
      <c r="A5" s="1"/>
      <c r="B5" s="44" t="s">
        <v>21</v>
      </c>
      <c r="C5" s="45"/>
      <c r="D5" s="46"/>
      <c r="E5" s="1"/>
      <c r="F5" s="39"/>
      <c r="G5" s="40"/>
      <c r="H5" s="41"/>
      <c r="I5" s="2"/>
    </row>
    <row r="6" spans="1:17" ht="14.25" customHeight="1">
      <c r="A6" s="1"/>
      <c r="B6" s="1"/>
      <c r="C6" s="1"/>
      <c r="D6" s="1"/>
      <c r="E6" s="1"/>
      <c r="F6" s="1"/>
      <c r="G6" s="1"/>
      <c r="H6" s="1"/>
      <c r="I6" s="2"/>
    </row>
    <row r="7" spans="1:17" ht="14.25" customHeight="1">
      <c r="A7" s="1"/>
      <c r="B7" s="47" t="s">
        <v>1</v>
      </c>
      <c r="C7" s="34"/>
      <c r="D7" s="35"/>
      <c r="E7" s="1"/>
      <c r="G7" s="19"/>
      <c r="H7" s="19"/>
      <c r="I7" s="2"/>
    </row>
    <row r="8" spans="1:17" ht="14.25" customHeight="1">
      <c r="A8" s="1"/>
      <c r="B8" s="41"/>
      <c r="C8" s="41"/>
      <c r="D8" s="41"/>
      <c r="E8" s="1"/>
      <c r="F8" s="19" t="s">
        <v>2</v>
      </c>
      <c r="G8" s="19"/>
      <c r="H8" s="19"/>
      <c r="I8" s="2"/>
    </row>
    <row r="9" spans="1:17" ht="14.25" customHeight="1" thickBot="1">
      <c r="A9" s="1"/>
      <c r="B9" s="56"/>
      <c r="C9" s="57"/>
      <c r="D9" s="58"/>
      <c r="E9" s="1"/>
      <c r="F9" s="62" t="str">
        <f>Eingabedaten!C4 &amp; ", " &amp; Eingabedaten!C3</f>
        <v>Sternicki, Michael</v>
      </c>
      <c r="G9" s="63"/>
      <c r="H9" s="64"/>
      <c r="I9" s="2"/>
    </row>
    <row r="10" spans="1:17" ht="14.25" customHeight="1">
      <c r="A10" s="1"/>
      <c r="B10" s="59"/>
      <c r="C10" s="60"/>
      <c r="D10" s="61"/>
      <c r="F10" s="65"/>
      <c r="G10" s="66"/>
      <c r="H10" s="67"/>
    </row>
    <row r="11" spans="1:17" ht="14.25" customHeight="1">
      <c r="A11" s="1"/>
      <c r="B11" s="17"/>
      <c r="C11" s="17"/>
      <c r="D11" s="17"/>
      <c r="F11" s="17"/>
      <c r="G11" s="17"/>
      <c r="H11" s="17"/>
    </row>
    <row r="12" spans="1:17" ht="14.25" customHeight="1">
      <c r="A12" s="1"/>
      <c r="B12" s="77"/>
      <c r="C12" s="78"/>
      <c r="D12" s="1"/>
      <c r="E12" s="1"/>
      <c r="F12" s="1"/>
      <c r="G12" s="1"/>
      <c r="H12" s="1"/>
    </row>
    <row r="13" spans="1:17" ht="14.25" customHeight="1">
      <c r="A13" s="1"/>
      <c r="B13" s="3" t="s">
        <v>4</v>
      </c>
      <c r="C13" s="3" t="s">
        <v>5</v>
      </c>
      <c r="D13" s="23" t="s">
        <v>6</v>
      </c>
      <c r="E13" s="24"/>
      <c r="F13" s="3" t="s">
        <v>7</v>
      </c>
      <c r="G13" s="3" t="s">
        <v>8</v>
      </c>
      <c r="H13" s="3" t="s">
        <v>9</v>
      </c>
      <c r="K13" s="18"/>
      <c r="L13" s="18"/>
      <c r="M13" s="18"/>
      <c r="N13" s="18"/>
      <c r="O13" s="18"/>
      <c r="P13" s="18"/>
      <c r="Q13" s="18"/>
    </row>
    <row r="14" spans="1:17" ht="14.25" customHeight="1">
      <c r="A14" s="1"/>
      <c r="B14" s="20" t="str">
        <f>TEXT(C14,"TTT")</f>
        <v>Sa</v>
      </c>
      <c r="C14" s="5">
        <f>B9</f>
        <v>0</v>
      </c>
      <c r="D14" s="6" t="str">
        <f>IF(OR(B14="Sa",B14="So"), "", TIME(8,30,0))</f>
        <v/>
      </c>
      <c r="E14" s="6" t="str">
        <f>IF(OR(B14="Sa",B14="So"), "", TIME(17,0,0))</f>
        <v/>
      </c>
      <c r="F14" s="4" t="str">
        <f>IF(OR(B14="Sa",B14="So"), "", 30)</f>
        <v/>
      </c>
      <c r="G14" s="4">
        <f>IF(B14="Sa",SUM(G9:G13),IF(B14="So","",(E14-D14)*24-F14/60))</f>
        <v>0</v>
      </c>
      <c r="H14" s="4" t="s">
        <v>16</v>
      </c>
      <c r="K14" s="18"/>
      <c r="L14" s="18"/>
      <c r="M14" s="18"/>
      <c r="N14" s="18"/>
      <c r="O14" s="18"/>
      <c r="P14" s="18"/>
      <c r="Q14" s="18"/>
    </row>
    <row r="15" spans="1:17" ht="14.25" customHeight="1">
      <c r="A15" s="1"/>
      <c r="B15" s="20" t="str">
        <f t="shared" ref="B15:B45" si="0">TEXT(C15,"TTT")</f>
        <v>So</v>
      </c>
      <c r="C15" s="5">
        <f>C14+1</f>
        <v>1</v>
      </c>
      <c r="D15" s="6" t="str">
        <f t="shared" ref="D15:D45" si="1">IF(OR(B15="Sa",B15="So"), "", TIME(8,30,0))</f>
        <v/>
      </c>
      <c r="E15" s="6" t="str">
        <f t="shared" ref="E15:E45" si="2">IF(OR(B15="Sa",B15="So"), "", TIME(17,0,0))</f>
        <v/>
      </c>
      <c r="F15" s="4" t="str">
        <f t="shared" ref="F15:F45" si="3">IF(OR(B15="Sa",B15="So"), "", 30)</f>
        <v/>
      </c>
      <c r="G15" s="4" t="str">
        <f t="shared" ref="G15:G45" si="4">IF(B15="Sa",SUM(G10:G14),IF(B15="So","",(E15-D15)*24-F15/60))</f>
        <v/>
      </c>
      <c r="H15" s="4" t="s">
        <v>16</v>
      </c>
      <c r="K15" s="18"/>
      <c r="L15" s="18"/>
      <c r="M15" s="18"/>
      <c r="N15" s="18"/>
      <c r="O15" s="18"/>
      <c r="P15" s="18"/>
      <c r="Q15" s="18"/>
    </row>
    <row r="16" spans="1:17" ht="14.25" customHeight="1">
      <c r="A16" s="1"/>
      <c r="B16" s="20" t="str">
        <f t="shared" si="0"/>
        <v>Mo</v>
      </c>
      <c r="C16" s="5">
        <f t="shared" ref="C16:C44" si="5">C15+1</f>
        <v>2</v>
      </c>
      <c r="D16" s="6">
        <f t="shared" si="1"/>
        <v>0.35416666666666669</v>
      </c>
      <c r="E16" s="6">
        <f t="shared" si="2"/>
        <v>0.70833333333333337</v>
      </c>
      <c r="F16" s="4">
        <f t="shared" si="3"/>
        <v>30</v>
      </c>
      <c r="G16" s="4">
        <f t="shared" si="4"/>
        <v>8</v>
      </c>
      <c r="H16" s="4" t="s">
        <v>16</v>
      </c>
      <c r="K16" s="18"/>
      <c r="L16" s="18"/>
      <c r="M16" s="18"/>
      <c r="N16" s="18"/>
      <c r="O16" s="18"/>
      <c r="P16" s="18"/>
      <c r="Q16" s="18"/>
    </row>
    <row r="17" spans="1:17" ht="14.25" customHeight="1">
      <c r="A17" s="1"/>
      <c r="B17" s="20" t="str">
        <f t="shared" si="0"/>
        <v>Di</v>
      </c>
      <c r="C17" s="5">
        <f t="shared" si="5"/>
        <v>3</v>
      </c>
      <c r="D17" s="6">
        <f>IF(OR(B17="Sa",B17="So"), "", TIME(8,30,0))</f>
        <v>0.35416666666666669</v>
      </c>
      <c r="E17" s="6">
        <f t="shared" si="2"/>
        <v>0.70833333333333337</v>
      </c>
      <c r="F17" s="4">
        <f t="shared" si="3"/>
        <v>30</v>
      </c>
      <c r="G17" s="4">
        <f t="shared" si="4"/>
        <v>8</v>
      </c>
      <c r="H17" s="15" t="s">
        <v>16</v>
      </c>
      <c r="K17" s="18"/>
      <c r="L17" s="18"/>
      <c r="M17" s="18"/>
      <c r="N17" s="18"/>
      <c r="O17" s="18"/>
      <c r="P17" s="18"/>
      <c r="Q17" s="18"/>
    </row>
    <row r="18" spans="1:17" ht="14.25" customHeight="1">
      <c r="A18" s="1"/>
      <c r="B18" s="20" t="str">
        <f t="shared" si="0"/>
        <v>Mi</v>
      </c>
      <c r="C18" s="5">
        <f t="shared" si="5"/>
        <v>4</v>
      </c>
      <c r="D18" s="6">
        <f t="shared" si="1"/>
        <v>0.35416666666666669</v>
      </c>
      <c r="E18" s="6">
        <f t="shared" si="2"/>
        <v>0.70833333333333337</v>
      </c>
      <c r="F18" s="4">
        <f t="shared" si="3"/>
        <v>30</v>
      </c>
      <c r="G18" s="4">
        <f t="shared" si="4"/>
        <v>8</v>
      </c>
      <c r="H18" s="15" t="s">
        <v>16</v>
      </c>
      <c r="K18" s="18"/>
      <c r="L18" s="18"/>
      <c r="M18" s="18"/>
      <c r="N18" s="18"/>
      <c r="O18" s="18"/>
      <c r="P18" s="18"/>
      <c r="Q18" s="18"/>
    </row>
    <row r="19" spans="1:17" ht="14.25" customHeight="1">
      <c r="A19" s="1"/>
      <c r="B19" s="20" t="str">
        <f t="shared" si="0"/>
        <v>Do</v>
      </c>
      <c r="C19" s="5">
        <f t="shared" si="5"/>
        <v>5</v>
      </c>
      <c r="D19" s="6">
        <f t="shared" si="1"/>
        <v>0.35416666666666669</v>
      </c>
      <c r="E19" s="6">
        <f t="shared" si="2"/>
        <v>0.70833333333333337</v>
      </c>
      <c r="F19" s="4">
        <f t="shared" si="3"/>
        <v>30</v>
      </c>
      <c r="G19" s="4">
        <f t="shared" si="4"/>
        <v>8</v>
      </c>
      <c r="H19" s="15" t="s">
        <v>16</v>
      </c>
      <c r="K19" s="18"/>
      <c r="L19" s="18"/>
      <c r="M19" s="18"/>
      <c r="N19" s="18"/>
      <c r="O19" s="18"/>
      <c r="P19" s="18"/>
      <c r="Q19" s="18"/>
    </row>
    <row r="20" spans="1:17" ht="14.25" customHeight="1">
      <c r="A20" s="1"/>
      <c r="B20" s="20" t="str">
        <f t="shared" si="0"/>
        <v>Fr</v>
      </c>
      <c r="C20" s="5">
        <f t="shared" si="5"/>
        <v>6</v>
      </c>
      <c r="D20" s="6">
        <f t="shared" si="1"/>
        <v>0.35416666666666669</v>
      </c>
      <c r="E20" s="6">
        <f t="shared" si="2"/>
        <v>0.70833333333333337</v>
      </c>
      <c r="F20" s="4">
        <f t="shared" si="3"/>
        <v>30</v>
      </c>
      <c r="G20" s="4">
        <f t="shared" si="4"/>
        <v>8</v>
      </c>
      <c r="H20" s="15" t="s">
        <v>16</v>
      </c>
      <c r="K20" s="18"/>
      <c r="L20" s="18"/>
      <c r="M20" s="18"/>
      <c r="N20" s="18"/>
      <c r="O20" s="18"/>
      <c r="P20" s="18"/>
      <c r="Q20" s="18"/>
    </row>
    <row r="21" spans="1:17" ht="14.25" customHeight="1">
      <c r="A21" s="14"/>
      <c r="B21" s="20" t="str">
        <f t="shared" si="0"/>
        <v>Sa</v>
      </c>
      <c r="C21" s="5">
        <f t="shared" si="5"/>
        <v>7</v>
      </c>
      <c r="D21" s="6" t="str">
        <f t="shared" si="1"/>
        <v/>
      </c>
      <c r="E21" s="6" t="str">
        <f t="shared" si="2"/>
        <v/>
      </c>
      <c r="F21" s="4" t="str">
        <f t="shared" si="3"/>
        <v/>
      </c>
      <c r="G21" s="4">
        <f t="shared" si="4"/>
        <v>40</v>
      </c>
      <c r="H21" s="15" t="s">
        <v>16</v>
      </c>
      <c r="K21" s="18"/>
      <c r="L21" s="18"/>
      <c r="M21" s="18"/>
      <c r="N21" s="18"/>
      <c r="O21" s="18"/>
      <c r="P21" s="18"/>
      <c r="Q21" s="18"/>
    </row>
    <row r="22" spans="1:17" ht="14.25" customHeight="1">
      <c r="A22" s="1"/>
      <c r="B22" s="20" t="str">
        <f t="shared" si="0"/>
        <v>So</v>
      </c>
      <c r="C22" s="5">
        <f t="shared" si="5"/>
        <v>8</v>
      </c>
      <c r="D22" s="6" t="str">
        <f t="shared" si="1"/>
        <v/>
      </c>
      <c r="E22" s="6" t="str">
        <f t="shared" si="2"/>
        <v/>
      </c>
      <c r="F22" s="4" t="str">
        <f t="shared" si="3"/>
        <v/>
      </c>
      <c r="G22" s="4" t="str">
        <f t="shared" si="4"/>
        <v/>
      </c>
      <c r="H22" s="15" t="s">
        <v>16</v>
      </c>
      <c r="K22" s="18"/>
      <c r="L22" s="18"/>
      <c r="M22" s="18"/>
      <c r="N22" s="18"/>
      <c r="O22" s="18"/>
      <c r="P22" s="18"/>
      <c r="Q22" s="18"/>
    </row>
    <row r="23" spans="1:17" ht="14.25" customHeight="1">
      <c r="A23" s="1"/>
      <c r="B23" s="20" t="str">
        <f t="shared" si="0"/>
        <v>Mo</v>
      </c>
      <c r="C23" s="5">
        <f t="shared" si="5"/>
        <v>9</v>
      </c>
      <c r="D23" s="6">
        <f t="shared" si="1"/>
        <v>0.35416666666666669</v>
      </c>
      <c r="E23" s="6">
        <f t="shared" si="2"/>
        <v>0.70833333333333337</v>
      </c>
      <c r="F23" s="4">
        <f t="shared" si="3"/>
        <v>30</v>
      </c>
      <c r="G23" s="4">
        <f t="shared" si="4"/>
        <v>8</v>
      </c>
      <c r="H23" s="15" t="s">
        <v>16</v>
      </c>
    </row>
    <row r="24" spans="1:17" ht="14.25" customHeight="1">
      <c r="A24" s="1"/>
      <c r="B24" s="20" t="str">
        <f t="shared" si="0"/>
        <v>Di</v>
      </c>
      <c r="C24" s="5">
        <f t="shared" si="5"/>
        <v>10</v>
      </c>
      <c r="D24" s="6">
        <f t="shared" si="1"/>
        <v>0.35416666666666669</v>
      </c>
      <c r="E24" s="6">
        <f t="shared" si="2"/>
        <v>0.70833333333333337</v>
      </c>
      <c r="F24" s="4">
        <f t="shared" si="3"/>
        <v>30</v>
      </c>
      <c r="G24" s="4">
        <f t="shared" si="4"/>
        <v>8</v>
      </c>
      <c r="H24" s="15" t="s">
        <v>16</v>
      </c>
    </row>
    <row r="25" spans="1:17" ht="14.25" customHeight="1">
      <c r="A25" s="1"/>
      <c r="B25" s="20" t="str">
        <f t="shared" si="0"/>
        <v>Mi</v>
      </c>
      <c r="C25" s="5">
        <f t="shared" si="5"/>
        <v>11</v>
      </c>
      <c r="D25" s="6">
        <f t="shared" si="1"/>
        <v>0.35416666666666669</v>
      </c>
      <c r="E25" s="6">
        <f t="shared" si="2"/>
        <v>0.70833333333333337</v>
      </c>
      <c r="F25" s="4">
        <f t="shared" si="3"/>
        <v>30</v>
      </c>
      <c r="G25" s="4">
        <f t="shared" si="4"/>
        <v>8</v>
      </c>
      <c r="H25" s="15" t="s">
        <v>16</v>
      </c>
    </row>
    <row r="26" spans="1:17" ht="14.25" customHeight="1">
      <c r="A26" s="1"/>
      <c r="B26" s="20" t="str">
        <f t="shared" si="0"/>
        <v>Do</v>
      </c>
      <c r="C26" s="5">
        <f t="shared" si="5"/>
        <v>12</v>
      </c>
      <c r="D26" s="6">
        <f t="shared" si="1"/>
        <v>0.35416666666666669</v>
      </c>
      <c r="E26" s="6">
        <f t="shared" si="2"/>
        <v>0.70833333333333337</v>
      </c>
      <c r="F26" s="4">
        <f t="shared" si="3"/>
        <v>30</v>
      </c>
      <c r="G26" s="4">
        <f t="shared" si="4"/>
        <v>8</v>
      </c>
      <c r="H26" s="15" t="s">
        <v>16</v>
      </c>
    </row>
    <row r="27" spans="1:17" ht="14.25" customHeight="1">
      <c r="A27" s="1"/>
      <c r="B27" s="20" t="str">
        <f t="shared" si="0"/>
        <v>Fr</v>
      </c>
      <c r="C27" s="5">
        <f t="shared" si="5"/>
        <v>13</v>
      </c>
      <c r="D27" s="6">
        <f t="shared" si="1"/>
        <v>0.35416666666666669</v>
      </c>
      <c r="E27" s="6">
        <f t="shared" si="2"/>
        <v>0.70833333333333337</v>
      </c>
      <c r="F27" s="4">
        <f t="shared" si="3"/>
        <v>30</v>
      </c>
      <c r="G27" s="4">
        <f t="shared" si="4"/>
        <v>8</v>
      </c>
      <c r="H27" s="15" t="s">
        <v>16</v>
      </c>
    </row>
    <row r="28" spans="1:17" ht="14.25" customHeight="1">
      <c r="A28" s="1"/>
      <c r="B28" s="20" t="str">
        <f t="shared" si="0"/>
        <v>Sa</v>
      </c>
      <c r="C28" s="5">
        <f t="shared" si="5"/>
        <v>14</v>
      </c>
      <c r="D28" s="6" t="str">
        <f t="shared" si="1"/>
        <v/>
      </c>
      <c r="E28" s="6" t="str">
        <f t="shared" si="2"/>
        <v/>
      </c>
      <c r="F28" s="4" t="str">
        <f t="shared" si="3"/>
        <v/>
      </c>
      <c r="G28" s="4">
        <f t="shared" si="4"/>
        <v>40</v>
      </c>
      <c r="H28" s="15" t="s">
        <v>16</v>
      </c>
    </row>
    <row r="29" spans="1:17" ht="14.25" customHeight="1">
      <c r="A29" s="1"/>
      <c r="B29" s="20" t="str">
        <f t="shared" si="0"/>
        <v>So</v>
      </c>
      <c r="C29" s="5">
        <f t="shared" si="5"/>
        <v>15</v>
      </c>
      <c r="D29" s="6" t="str">
        <f t="shared" si="1"/>
        <v/>
      </c>
      <c r="E29" s="6" t="str">
        <f t="shared" si="2"/>
        <v/>
      </c>
      <c r="F29" s="4" t="str">
        <f t="shared" si="3"/>
        <v/>
      </c>
      <c r="G29" s="4" t="str">
        <f t="shared" si="4"/>
        <v/>
      </c>
      <c r="H29" s="15" t="s">
        <v>16</v>
      </c>
    </row>
    <row r="30" spans="1:17" ht="14.25" customHeight="1">
      <c r="A30" s="1"/>
      <c r="B30" s="20" t="str">
        <f t="shared" si="0"/>
        <v>Mo</v>
      </c>
      <c r="C30" s="5">
        <f t="shared" si="5"/>
        <v>16</v>
      </c>
      <c r="D30" s="6">
        <f t="shared" si="1"/>
        <v>0.35416666666666669</v>
      </c>
      <c r="E30" s="6">
        <f t="shared" si="2"/>
        <v>0.70833333333333337</v>
      </c>
      <c r="F30" s="4">
        <f t="shared" si="3"/>
        <v>30</v>
      </c>
      <c r="G30" s="4">
        <f t="shared" si="4"/>
        <v>8</v>
      </c>
      <c r="H30" s="15" t="s">
        <v>16</v>
      </c>
    </row>
    <row r="31" spans="1:17" ht="14.25" customHeight="1">
      <c r="A31" s="1"/>
      <c r="B31" s="20" t="str">
        <f t="shared" si="0"/>
        <v>Di</v>
      </c>
      <c r="C31" s="5">
        <f t="shared" si="5"/>
        <v>17</v>
      </c>
      <c r="D31" s="6">
        <f t="shared" si="1"/>
        <v>0.35416666666666669</v>
      </c>
      <c r="E31" s="6">
        <f t="shared" si="2"/>
        <v>0.70833333333333337</v>
      </c>
      <c r="F31" s="4">
        <f t="shared" si="3"/>
        <v>30</v>
      </c>
      <c r="G31" s="4">
        <f t="shared" si="4"/>
        <v>8</v>
      </c>
      <c r="H31" s="15" t="s">
        <v>16</v>
      </c>
    </row>
    <row r="32" spans="1:17" ht="14.25" customHeight="1">
      <c r="A32" s="1"/>
      <c r="B32" s="20" t="str">
        <f t="shared" si="0"/>
        <v>Mi</v>
      </c>
      <c r="C32" s="5">
        <f t="shared" si="5"/>
        <v>18</v>
      </c>
      <c r="D32" s="6">
        <f t="shared" si="1"/>
        <v>0.35416666666666669</v>
      </c>
      <c r="E32" s="6">
        <f t="shared" si="2"/>
        <v>0.70833333333333337</v>
      </c>
      <c r="F32" s="4">
        <f t="shared" si="3"/>
        <v>30</v>
      </c>
      <c r="G32" s="4">
        <f t="shared" si="4"/>
        <v>8</v>
      </c>
      <c r="H32" s="15" t="s">
        <v>16</v>
      </c>
    </row>
    <row r="33" spans="1:9" ht="14.25" customHeight="1">
      <c r="A33" s="1"/>
      <c r="B33" s="20" t="str">
        <f t="shared" si="0"/>
        <v>Do</v>
      </c>
      <c r="C33" s="5">
        <f t="shared" si="5"/>
        <v>19</v>
      </c>
      <c r="D33" s="6">
        <f t="shared" si="1"/>
        <v>0.35416666666666669</v>
      </c>
      <c r="E33" s="6">
        <f t="shared" si="2"/>
        <v>0.70833333333333337</v>
      </c>
      <c r="F33" s="4">
        <f t="shared" si="3"/>
        <v>30</v>
      </c>
      <c r="G33" s="4">
        <f t="shared" si="4"/>
        <v>8</v>
      </c>
      <c r="H33" s="15" t="s">
        <v>16</v>
      </c>
    </row>
    <row r="34" spans="1:9" ht="14.25" customHeight="1">
      <c r="A34" s="1"/>
      <c r="B34" s="20" t="str">
        <f t="shared" si="0"/>
        <v>Fr</v>
      </c>
      <c r="C34" s="5">
        <f t="shared" si="5"/>
        <v>20</v>
      </c>
      <c r="D34" s="6">
        <f t="shared" si="1"/>
        <v>0.35416666666666669</v>
      </c>
      <c r="E34" s="6">
        <f t="shared" si="2"/>
        <v>0.70833333333333337</v>
      </c>
      <c r="F34" s="4">
        <f t="shared" si="3"/>
        <v>30</v>
      </c>
      <c r="G34" s="4">
        <f t="shared" si="4"/>
        <v>8</v>
      </c>
      <c r="H34" s="15" t="s">
        <v>16</v>
      </c>
      <c r="I34" s="2"/>
    </row>
    <row r="35" spans="1:9" ht="14.25" customHeight="1">
      <c r="A35" s="1"/>
      <c r="B35" s="20" t="str">
        <f t="shared" si="0"/>
        <v>Sa</v>
      </c>
      <c r="C35" s="5">
        <f t="shared" si="5"/>
        <v>21</v>
      </c>
      <c r="D35" s="6" t="str">
        <f t="shared" si="1"/>
        <v/>
      </c>
      <c r="E35" s="6" t="str">
        <f t="shared" si="2"/>
        <v/>
      </c>
      <c r="F35" s="4" t="str">
        <f t="shared" si="3"/>
        <v/>
      </c>
      <c r="G35" s="4">
        <f t="shared" si="4"/>
        <v>40</v>
      </c>
      <c r="H35" s="15" t="s">
        <v>16</v>
      </c>
      <c r="I35" s="2"/>
    </row>
    <row r="36" spans="1:9" ht="14.25" customHeight="1">
      <c r="A36" s="1"/>
      <c r="B36" s="20" t="str">
        <f t="shared" si="0"/>
        <v>So</v>
      </c>
      <c r="C36" s="5">
        <f t="shared" si="5"/>
        <v>22</v>
      </c>
      <c r="D36" s="6" t="str">
        <f t="shared" si="1"/>
        <v/>
      </c>
      <c r="E36" s="6" t="str">
        <f t="shared" si="2"/>
        <v/>
      </c>
      <c r="F36" s="4" t="str">
        <f t="shared" si="3"/>
        <v/>
      </c>
      <c r="G36" s="4" t="str">
        <f t="shared" si="4"/>
        <v/>
      </c>
      <c r="H36" s="15" t="s">
        <v>16</v>
      </c>
      <c r="I36" s="2"/>
    </row>
    <row r="37" spans="1:9" ht="14.25" customHeight="1">
      <c r="A37" s="1"/>
      <c r="B37" s="20" t="str">
        <f t="shared" si="0"/>
        <v>Mo</v>
      </c>
      <c r="C37" s="5">
        <f t="shared" si="5"/>
        <v>23</v>
      </c>
      <c r="D37" s="6">
        <f t="shared" si="1"/>
        <v>0.35416666666666669</v>
      </c>
      <c r="E37" s="6">
        <f t="shared" si="2"/>
        <v>0.70833333333333337</v>
      </c>
      <c r="F37" s="4">
        <f t="shared" si="3"/>
        <v>30</v>
      </c>
      <c r="G37" s="4">
        <f t="shared" si="4"/>
        <v>8</v>
      </c>
      <c r="H37" s="15" t="s">
        <v>16</v>
      </c>
      <c r="I37" s="2"/>
    </row>
    <row r="38" spans="1:9" ht="14.25" customHeight="1">
      <c r="A38" s="1"/>
      <c r="B38" s="20" t="str">
        <f t="shared" si="0"/>
        <v>Di</v>
      </c>
      <c r="C38" s="5">
        <f t="shared" si="5"/>
        <v>24</v>
      </c>
      <c r="D38" s="6">
        <f t="shared" si="1"/>
        <v>0.35416666666666669</v>
      </c>
      <c r="E38" s="6">
        <f t="shared" si="2"/>
        <v>0.70833333333333337</v>
      </c>
      <c r="F38" s="4">
        <f t="shared" si="3"/>
        <v>30</v>
      </c>
      <c r="G38" s="4">
        <f t="shared" si="4"/>
        <v>8</v>
      </c>
      <c r="H38" s="15" t="s">
        <v>16</v>
      </c>
      <c r="I38" s="2"/>
    </row>
    <row r="39" spans="1:9" ht="14.25" customHeight="1">
      <c r="A39" s="1"/>
      <c r="B39" s="20" t="str">
        <f t="shared" si="0"/>
        <v>Mi</v>
      </c>
      <c r="C39" s="5">
        <f t="shared" si="5"/>
        <v>25</v>
      </c>
      <c r="D39" s="6">
        <f t="shared" si="1"/>
        <v>0.35416666666666669</v>
      </c>
      <c r="E39" s="6">
        <f t="shared" si="2"/>
        <v>0.70833333333333337</v>
      </c>
      <c r="F39" s="4">
        <f t="shared" si="3"/>
        <v>30</v>
      </c>
      <c r="G39" s="4">
        <f t="shared" si="4"/>
        <v>8</v>
      </c>
      <c r="H39" s="15" t="s">
        <v>16</v>
      </c>
      <c r="I39" s="2"/>
    </row>
    <row r="40" spans="1:9" ht="14.25" customHeight="1">
      <c r="A40" s="1"/>
      <c r="B40" s="20" t="str">
        <f t="shared" si="0"/>
        <v>Do</v>
      </c>
      <c r="C40" s="5">
        <f t="shared" si="5"/>
        <v>26</v>
      </c>
      <c r="D40" s="6">
        <f t="shared" si="1"/>
        <v>0.35416666666666669</v>
      </c>
      <c r="E40" s="6">
        <f t="shared" si="2"/>
        <v>0.70833333333333337</v>
      </c>
      <c r="F40" s="4">
        <f t="shared" si="3"/>
        <v>30</v>
      </c>
      <c r="G40" s="4">
        <f t="shared" si="4"/>
        <v>8</v>
      </c>
      <c r="H40" s="15" t="s">
        <v>16</v>
      </c>
      <c r="I40" s="2"/>
    </row>
    <row r="41" spans="1:9" ht="14.25" customHeight="1">
      <c r="A41" s="1"/>
      <c r="B41" s="20" t="str">
        <f t="shared" si="0"/>
        <v>Fr</v>
      </c>
      <c r="C41" s="5">
        <f t="shared" si="5"/>
        <v>27</v>
      </c>
      <c r="D41" s="6">
        <f t="shared" si="1"/>
        <v>0.35416666666666669</v>
      </c>
      <c r="E41" s="6">
        <f t="shared" si="2"/>
        <v>0.70833333333333337</v>
      </c>
      <c r="F41" s="4">
        <f t="shared" si="3"/>
        <v>30</v>
      </c>
      <c r="G41" s="4">
        <f t="shared" si="4"/>
        <v>8</v>
      </c>
      <c r="H41" s="15" t="s">
        <v>16</v>
      </c>
      <c r="I41" s="2"/>
    </row>
    <row r="42" spans="1:9" ht="14.25" customHeight="1">
      <c r="A42" s="1"/>
      <c r="B42" s="20" t="str">
        <f t="shared" si="0"/>
        <v>Sa</v>
      </c>
      <c r="C42" s="5">
        <f t="shared" si="5"/>
        <v>28</v>
      </c>
      <c r="D42" s="6" t="str">
        <f t="shared" si="1"/>
        <v/>
      </c>
      <c r="E42" s="6" t="str">
        <f t="shared" si="2"/>
        <v/>
      </c>
      <c r="F42" s="4" t="str">
        <f t="shared" si="3"/>
        <v/>
      </c>
      <c r="G42" s="4">
        <f t="shared" si="4"/>
        <v>40</v>
      </c>
      <c r="H42" s="15" t="s">
        <v>16</v>
      </c>
      <c r="I42" s="2"/>
    </row>
    <row r="43" spans="1:9" ht="14.25" customHeight="1">
      <c r="A43" s="1"/>
      <c r="B43" s="20" t="str">
        <f t="shared" si="0"/>
        <v>So</v>
      </c>
      <c r="C43" s="5">
        <f t="shared" si="5"/>
        <v>29</v>
      </c>
      <c r="D43" s="6" t="str">
        <f t="shared" si="1"/>
        <v/>
      </c>
      <c r="E43" s="6" t="str">
        <f t="shared" si="2"/>
        <v/>
      </c>
      <c r="F43" s="4" t="str">
        <f t="shared" si="3"/>
        <v/>
      </c>
      <c r="G43" s="4" t="str">
        <f t="shared" si="4"/>
        <v/>
      </c>
      <c r="H43" s="15" t="s">
        <v>16</v>
      </c>
      <c r="I43" s="2"/>
    </row>
    <row r="44" spans="1:9" ht="14.25" customHeight="1">
      <c r="A44" s="14"/>
      <c r="B44" s="20" t="str">
        <f t="shared" si="0"/>
        <v>Mo</v>
      </c>
      <c r="C44" s="5">
        <f t="shared" si="5"/>
        <v>30</v>
      </c>
      <c r="D44" s="6">
        <f t="shared" si="1"/>
        <v>0.35416666666666669</v>
      </c>
      <c r="E44" s="6">
        <f t="shared" si="2"/>
        <v>0.70833333333333337</v>
      </c>
      <c r="F44" s="4">
        <f t="shared" si="3"/>
        <v>30</v>
      </c>
      <c r="G44" s="4">
        <f t="shared" si="4"/>
        <v>8</v>
      </c>
      <c r="H44" s="15" t="s">
        <v>16</v>
      </c>
      <c r="I44" s="2"/>
    </row>
    <row r="45" spans="1:9" ht="14.25" customHeight="1">
      <c r="A45" s="14"/>
      <c r="B45" s="75" t="str">
        <f t="shared" si="0"/>
        <v>Di</v>
      </c>
      <c r="C45" s="76">
        <f>C44+1</f>
        <v>31</v>
      </c>
      <c r="D45" s="79">
        <f t="shared" si="1"/>
        <v>0.35416666666666669</v>
      </c>
      <c r="E45" s="79">
        <f t="shared" si="2"/>
        <v>0.70833333333333337</v>
      </c>
      <c r="F45" s="80">
        <f t="shared" si="3"/>
        <v>30</v>
      </c>
      <c r="G45" s="4">
        <f t="shared" si="4"/>
        <v>8</v>
      </c>
      <c r="H45" s="74"/>
      <c r="I45" s="2"/>
    </row>
    <row r="46" spans="1:9" ht="14.25" customHeight="1">
      <c r="A46" s="14"/>
      <c r="B46" s="71"/>
      <c r="C46" s="72"/>
      <c r="D46" s="73"/>
      <c r="E46" s="73"/>
      <c r="F46" s="14"/>
      <c r="G46" s="14"/>
      <c r="H46" s="74"/>
      <c r="I46" s="2"/>
    </row>
    <row r="47" spans="1:9" ht="14.25" customHeight="1">
      <c r="A47" s="1"/>
      <c r="B47" s="22" t="e" vm="4">
        <f>Eingabedaten!B18</f>
        <v>#VALUE!</v>
      </c>
      <c r="C47" s="22"/>
      <c r="D47" s="22"/>
      <c r="E47" s="1"/>
      <c r="F47" s="1"/>
      <c r="G47" s="1"/>
      <c r="H47" s="1"/>
      <c r="I47" s="2"/>
    </row>
    <row r="48" spans="1:9" ht="14.25" customHeight="1">
      <c r="A48" s="1"/>
      <c r="B48" s="22"/>
      <c r="C48" s="22"/>
      <c r="D48" s="22"/>
      <c r="E48" s="1"/>
      <c r="F48" s="22">
        <f>Eingabedaten!B22</f>
        <v>0</v>
      </c>
      <c r="G48" s="22"/>
      <c r="H48" s="22"/>
      <c r="I48" s="2"/>
    </row>
    <row r="49" spans="1:9" ht="14.25" customHeight="1">
      <c r="A49" s="1"/>
      <c r="B49" s="22"/>
      <c r="C49" s="22"/>
      <c r="D49" s="22"/>
      <c r="E49" s="14"/>
      <c r="F49" s="22"/>
      <c r="G49" s="22"/>
      <c r="H49" s="22"/>
    </row>
    <row r="50" spans="1:9" ht="14.25" customHeight="1" thickBot="1">
      <c r="A50" s="1"/>
      <c r="B50" s="25">
        <f>C44</f>
        <v>30</v>
      </c>
      <c r="C50" s="26"/>
      <c r="D50" s="7"/>
      <c r="E50" s="1"/>
      <c r="F50" s="13">
        <f>B50</f>
        <v>30</v>
      </c>
      <c r="G50" s="7"/>
      <c r="H50" s="7"/>
    </row>
    <row r="51" spans="1:9" ht="14.25" customHeight="1">
      <c r="A51" s="2"/>
      <c r="B51" s="27" t="s">
        <v>17</v>
      </c>
      <c r="C51" s="28"/>
      <c r="D51" s="29"/>
      <c r="E51" s="1"/>
      <c r="F51" s="27" t="s">
        <v>18</v>
      </c>
      <c r="G51" s="28"/>
      <c r="H51" s="29"/>
    </row>
    <row r="52" spans="1:9" ht="14.25" customHeight="1">
      <c r="A52" s="2"/>
    </row>
    <row r="53" spans="1:9" ht="14.25" customHeight="1">
      <c r="A53" s="2"/>
    </row>
    <row r="54" spans="1:9" ht="14.25" customHeight="1">
      <c r="A54" s="2"/>
      <c r="I54" s="2"/>
    </row>
    <row r="55" spans="1:9" ht="14.25" customHeight="1">
      <c r="A55" s="2"/>
      <c r="B55" s="2"/>
      <c r="C55" s="2"/>
      <c r="D55" s="2"/>
      <c r="E55" s="2"/>
      <c r="F55" s="2"/>
      <c r="G55" s="2"/>
      <c r="H55" s="2"/>
      <c r="I55" s="2"/>
    </row>
    <row r="56" spans="1:9" ht="14.25" customHeight="1">
      <c r="A56" s="2"/>
      <c r="B56" s="2"/>
      <c r="C56" s="2"/>
      <c r="D56" s="2"/>
      <c r="E56" s="2"/>
      <c r="F56" s="2"/>
      <c r="G56" s="2"/>
      <c r="H56" s="2"/>
      <c r="I56" s="2"/>
    </row>
    <row r="57" spans="1:9" ht="14.25" customHeight="1">
      <c r="A57" s="2"/>
      <c r="B57" s="2"/>
      <c r="C57" s="2"/>
      <c r="D57" s="2"/>
      <c r="E57" s="2"/>
      <c r="F57" s="2"/>
      <c r="G57" s="2"/>
      <c r="H57" s="2"/>
      <c r="I57" s="2"/>
    </row>
    <row r="58" spans="1:9" ht="14.25" customHeight="1">
      <c r="A58" s="2"/>
      <c r="B58" s="2"/>
      <c r="C58" s="2"/>
      <c r="D58" s="2"/>
      <c r="E58" s="2"/>
      <c r="F58" s="2"/>
      <c r="G58" s="2"/>
      <c r="H58" s="2"/>
      <c r="I58" s="2"/>
    </row>
    <row r="59" spans="1:9" ht="14.25" customHeight="1">
      <c r="A59" s="2"/>
      <c r="B59" s="2"/>
      <c r="C59" s="2"/>
      <c r="D59" s="2"/>
      <c r="E59" s="2"/>
      <c r="F59" s="2"/>
      <c r="G59" s="2"/>
      <c r="H59" s="2"/>
      <c r="I59" s="2"/>
    </row>
    <row r="60" spans="1:9" ht="14.25" customHeight="1">
      <c r="A60" s="2"/>
      <c r="B60" s="2"/>
      <c r="C60" s="2"/>
      <c r="D60" s="2"/>
      <c r="E60" s="2"/>
      <c r="F60" s="2"/>
      <c r="G60" s="2"/>
      <c r="H60" s="2"/>
      <c r="I60" s="2"/>
    </row>
    <row r="61" spans="1:9" ht="14.25" customHeight="1">
      <c r="A61" s="2"/>
      <c r="B61" s="2"/>
      <c r="C61" s="2"/>
      <c r="D61" s="2"/>
      <c r="E61" s="2"/>
      <c r="F61" s="2"/>
      <c r="G61" s="2"/>
      <c r="H61" s="2"/>
      <c r="I61" s="2"/>
    </row>
    <row r="62" spans="1:9" ht="14.25" customHeight="1">
      <c r="A62" s="2"/>
      <c r="B62" s="2"/>
      <c r="C62" s="2"/>
      <c r="D62" s="2"/>
      <c r="E62" s="2"/>
      <c r="F62" s="2"/>
      <c r="G62" s="2"/>
      <c r="H62" s="2"/>
      <c r="I62" s="2"/>
    </row>
    <row r="63" spans="1:9" ht="14.25" customHeight="1">
      <c r="A63" s="2"/>
      <c r="B63" s="2"/>
      <c r="C63" s="2"/>
      <c r="D63" s="2"/>
      <c r="E63" s="2"/>
      <c r="F63" s="2"/>
      <c r="G63" s="2"/>
      <c r="H63" s="2"/>
      <c r="I63" s="2"/>
    </row>
    <row r="64" spans="1:9" ht="14.25" customHeight="1">
      <c r="A64" s="2"/>
      <c r="B64" s="2"/>
      <c r="C64" s="2"/>
      <c r="D64" s="2"/>
      <c r="E64" s="2"/>
      <c r="F64" s="2"/>
      <c r="G64" s="2"/>
      <c r="H64" s="2"/>
      <c r="I64" s="2"/>
    </row>
    <row r="65" spans="1:9" ht="14.25" customHeight="1">
      <c r="A65" s="2"/>
      <c r="B65" s="2"/>
      <c r="C65" s="2"/>
      <c r="D65" s="2"/>
      <c r="E65" s="2"/>
      <c r="F65" s="2"/>
      <c r="G65" s="2"/>
      <c r="H65" s="2"/>
      <c r="I65" s="2"/>
    </row>
    <row r="66" spans="1:9" ht="14.25" customHeight="1">
      <c r="A66" s="2"/>
      <c r="B66" s="2"/>
      <c r="C66" s="2"/>
      <c r="D66" s="2"/>
      <c r="E66" s="2"/>
      <c r="F66" s="2"/>
      <c r="G66" s="2"/>
      <c r="H66" s="2"/>
      <c r="I66" s="2"/>
    </row>
    <row r="67" spans="1:9" ht="14.25" customHeight="1">
      <c r="A67" s="2"/>
      <c r="B67" s="2"/>
      <c r="C67" s="2"/>
      <c r="D67" s="2"/>
      <c r="E67" s="2"/>
      <c r="F67" s="2"/>
      <c r="G67" s="2"/>
      <c r="H67" s="2"/>
      <c r="I67" s="2"/>
    </row>
    <row r="68" spans="1:9" ht="14.25" customHeight="1">
      <c r="A68" s="2"/>
      <c r="B68" s="2"/>
      <c r="C68" s="2"/>
      <c r="D68" s="2"/>
      <c r="E68" s="2"/>
      <c r="F68" s="2"/>
      <c r="G68" s="2"/>
      <c r="H68" s="2"/>
      <c r="I68" s="2"/>
    </row>
    <row r="69" spans="1:9" ht="14.25" customHeight="1">
      <c r="A69" s="2"/>
      <c r="B69" s="2"/>
      <c r="C69" s="2"/>
      <c r="D69" s="2"/>
      <c r="E69" s="2"/>
      <c r="F69" s="2"/>
      <c r="G69" s="2"/>
      <c r="H69" s="2"/>
      <c r="I69" s="2"/>
    </row>
    <row r="70" spans="1:9" ht="14.25" customHeight="1">
      <c r="A70" s="2"/>
      <c r="B70" s="2"/>
      <c r="C70" s="2"/>
      <c r="D70" s="2"/>
      <c r="E70" s="2"/>
      <c r="F70" s="2"/>
      <c r="G70" s="2"/>
      <c r="H70" s="2"/>
      <c r="I70" s="2"/>
    </row>
    <row r="71" spans="1:9" ht="14.25" customHeight="1">
      <c r="A71" s="2"/>
      <c r="B71" s="2"/>
      <c r="C71" s="2"/>
      <c r="D71" s="2"/>
      <c r="E71" s="2"/>
      <c r="F71" s="2"/>
      <c r="G71" s="2"/>
      <c r="H71" s="2"/>
      <c r="I71" s="2"/>
    </row>
    <row r="72" spans="1:9" ht="14.25" customHeight="1">
      <c r="A72" s="2"/>
      <c r="B72" s="2"/>
      <c r="C72" s="2"/>
      <c r="D72" s="2"/>
      <c r="E72" s="2"/>
      <c r="F72" s="2"/>
      <c r="G72" s="2"/>
      <c r="H72" s="2"/>
      <c r="I72" s="2"/>
    </row>
    <row r="73" spans="1:9" ht="14.25" customHeight="1">
      <c r="A73" s="2"/>
      <c r="B73" s="2"/>
      <c r="C73" s="2"/>
      <c r="D73" s="2"/>
      <c r="E73" s="2"/>
      <c r="F73" s="2"/>
      <c r="G73" s="2"/>
      <c r="H73" s="2"/>
      <c r="I73" s="2"/>
    </row>
    <row r="74" spans="1:9" ht="14.25" customHeight="1">
      <c r="A74" s="2"/>
      <c r="B74" s="2"/>
      <c r="C74" s="2"/>
      <c r="D74" s="2"/>
      <c r="E74" s="2"/>
      <c r="F74" s="2"/>
      <c r="G74" s="2"/>
      <c r="H74" s="2"/>
      <c r="I74" s="2"/>
    </row>
    <row r="75" spans="1:9" ht="14.25" customHeight="1">
      <c r="A75" s="2"/>
      <c r="B75" s="2"/>
      <c r="C75" s="2"/>
      <c r="D75" s="2"/>
      <c r="E75" s="2"/>
      <c r="F75" s="2"/>
      <c r="G75" s="2"/>
      <c r="H75" s="2"/>
      <c r="I75" s="2"/>
    </row>
    <row r="76" spans="1:9" ht="14.25" customHeight="1">
      <c r="A76" s="2"/>
      <c r="B76" s="2"/>
      <c r="C76" s="2"/>
      <c r="D76" s="2"/>
      <c r="E76" s="2"/>
      <c r="F76" s="2"/>
      <c r="G76" s="2"/>
      <c r="H76" s="2"/>
      <c r="I76" s="2"/>
    </row>
    <row r="77" spans="1:9" ht="14.25" customHeight="1">
      <c r="A77" s="2"/>
      <c r="B77" s="2"/>
      <c r="C77" s="2"/>
      <c r="D77" s="2"/>
      <c r="E77" s="2"/>
      <c r="F77" s="2"/>
      <c r="G77" s="2"/>
      <c r="H77" s="2"/>
      <c r="I77" s="2"/>
    </row>
    <row r="78" spans="1:9" ht="14.25" customHeight="1">
      <c r="A78" s="2"/>
      <c r="B78" s="2"/>
      <c r="C78" s="2"/>
      <c r="D78" s="2"/>
      <c r="E78" s="2"/>
      <c r="F78" s="2"/>
      <c r="G78" s="2"/>
      <c r="H78" s="2"/>
      <c r="I78" s="2"/>
    </row>
    <row r="79" spans="1:9" ht="14.25" customHeight="1">
      <c r="A79" s="2"/>
      <c r="B79" s="2"/>
      <c r="C79" s="2"/>
      <c r="D79" s="2"/>
      <c r="E79" s="2"/>
      <c r="F79" s="2"/>
      <c r="G79" s="2"/>
      <c r="H79" s="2"/>
      <c r="I79" s="2"/>
    </row>
    <row r="80" spans="1:9" ht="14.25" customHeight="1">
      <c r="A80" s="2"/>
      <c r="B80" s="2"/>
      <c r="C80" s="2"/>
      <c r="D80" s="2"/>
      <c r="E80" s="2"/>
      <c r="F80" s="2"/>
      <c r="G80" s="2"/>
      <c r="H80" s="2"/>
      <c r="I80" s="2"/>
    </row>
    <row r="81" spans="1:9" ht="14.25" customHeight="1">
      <c r="A81" s="2"/>
      <c r="B81" s="2"/>
      <c r="C81" s="2"/>
      <c r="D81" s="2"/>
      <c r="E81" s="2"/>
      <c r="F81" s="2"/>
      <c r="G81" s="2"/>
      <c r="H81" s="2"/>
      <c r="I81" s="2"/>
    </row>
    <row r="82" spans="1:9" ht="14.25" customHeight="1">
      <c r="A82" s="2"/>
      <c r="B82" s="2"/>
      <c r="C82" s="2"/>
      <c r="D82" s="2"/>
      <c r="E82" s="2"/>
      <c r="F82" s="2"/>
      <c r="G82" s="2"/>
      <c r="H82" s="2"/>
      <c r="I82" s="2"/>
    </row>
    <row r="83" spans="1:9" ht="14.25" customHeight="1">
      <c r="A83" s="2"/>
      <c r="B83" s="2"/>
      <c r="C83" s="2"/>
      <c r="D83" s="2"/>
      <c r="E83" s="2"/>
      <c r="F83" s="2"/>
      <c r="G83" s="2"/>
      <c r="H83" s="2"/>
      <c r="I83" s="2"/>
    </row>
    <row r="84" spans="1:9" ht="14.25" customHeight="1">
      <c r="A84" s="2"/>
      <c r="B84" s="2"/>
      <c r="C84" s="2"/>
      <c r="D84" s="2"/>
      <c r="E84" s="2"/>
      <c r="F84" s="2"/>
      <c r="G84" s="2"/>
      <c r="H84" s="2"/>
      <c r="I84" s="2"/>
    </row>
    <row r="85" spans="1:9" ht="14.25" customHeight="1">
      <c r="A85" s="2"/>
      <c r="B85" s="2"/>
      <c r="C85" s="2"/>
      <c r="D85" s="2"/>
      <c r="E85" s="2"/>
      <c r="F85" s="2"/>
      <c r="G85" s="2"/>
      <c r="H85" s="2"/>
      <c r="I85" s="2"/>
    </row>
    <row r="86" spans="1:9" ht="14.25" customHeight="1">
      <c r="A86" s="2"/>
      <c r="B86" s="2"/>
      <c r="C86" s="2"/>
      <c r="D86" s="2"/>
      <c r="E86" s="2"/>
      <c r="F86" s="2"/>
      <c r="G86" s="2"/>
      <c r="H86" s="2"/>
      <c r="I86" s="2"/>
    </row>
    <row r="87" spans="1:9" ht="14.25" customHeight="1">
      <c r="A87" s="2"/>
      <c r="B87" s="2"/>
      <c r="C87" s="2"/>
      <c r="D87" s="2"/>
      <c r="E87" s="2"/>
      <c r="F87" s="2"/>
      <c r="G87" s="2"/>
      <c r="H87" s="2"/>
      <c r="I87" s="2"/>
    </row>
    <row r="88" spans="1:9" ht="14.25" customHeight="1">
      <c r="A88" s="2"/>
      <c r="B88" s="2"/>
      <c r="C88" s="2"/>
      <c r="D88" s="2"/>
      <c r="E88" s="2"/>
      <c r="F88" s="2"/>
      <c r="G88" s="2"/>
      <c r="H88" s="2"/>
      <c r="I88" s="2"/>
    </row>
    <row r="89" spans="1:9" ht="14.25" customHeight="1">
      <c r="A89" s="2"/>
      <c r="B89" s="2"/>
      <c r="C89" s="2"/>
      <c r="D89" s="2"/>
      <c r="E89" s="2"/>
      <c r="F89" s="2"/>
      <c r="G89" s="2"/>
      <c r="H89" s="2"/>
      <c r="I89" s="2"/>
    </row>
    <row r="90" spans="1:9" ht="14.25" customHeight="1">
      <c r="A90" s="2"/>
      <c r="B90" s="2"/>
      <c r="C90" s="2"/>
      <c r="D90" s="2"/>
      <c r="E90" s="2"/>
      <c r="F90" s="2"/>
      <c r="G90" s="2"/>
      <c r="H90" s="2"/>
      <c r="I90" s="2"/>
    </row>
    <row r="91" spans="1:9" ht="14.25" customHeight="1">
      <c r="A91" s="2"/>
      <c r="B91" s="2"/>
      <c r="C91" s="2"/>
      <c r="D91" s="2"/>
      <c r="E91" s="2"/>
      <c r="F91" s="2"/>
      <c r="G91" s="2"/>
      <c r="H91" s="2"/>
      <c r="I91" s="2"/>
    </row>
    <row r="92" spans="1:9" ht="14.25" customHeight="1">
      <c r="A92" s="2"/>
      <c r="B92" s="2"/>
      <c r="C92" s="2"/>
      <c r="D92" s="2"/>
      <c r="E92" s="2"/>
      <c r="F92" s="2"/>
      <c r="G92" s="2"/>
      <c r="H92" s="2"/>
      <c r="I92" s="2"/>
    </row>
    <row r="93" spans="1:9" ht="14.25" customHeight="1">
      <c r="A93" s="2"/>
      <c r="B93" s="2"/>
      <c r="C93" s="2"/>
      <c r="D93" s="2"/>
      <c r="E93" s="2"/>
      <c r="F93" s="2"/>
      <c r="G93" s="2"/>
      <c r="H93" s="2"/>
      <c r="I93" s="2"/>
    </row>
    <row r="94" spans="1:9" ht="14.25" customHeight="1">
      <c r="A94" s="2"/>
      <c r="B94" s="2"/>
      <c r="C94" s="2"/>
      <c r="D94" s="2"/>
      <c r="E94" s="2"/>
      <c r="F94" s="2"/>
      <c r="G94" s="2"/>
      <c r="H94" s="2"/>
      <c r="I94" s="2"/>
    </row>
    <row r="95" spans="1:9" ht="14.25" customHeight="1">
      <c r="A95" s="2"/>
      <c r="B95" s="2"/>
      <c r="C95" s="2"/>
      <c r="D95" s="2"/>
      <c r="E95" s="2"/>
      <c r="F95" s="2"/>
      <c r="G95" s="2"/>
      <c r="H95" s="2"/>
      <c r="I95" s="2"/>
    </row>
    <row r="96" spans="1:9" ht="14.25" customHeight="1">
      <c r="A96" s="2"/>
      <c r="B96" s="2"/>
      <c r="C96" s="2"/>
      <c r="D96" s="2"/>
      <c r="E96" s="2"/>
      <c r="F96" s="2"/>
      <c r="G96" s="2"/>
      <c r="H96" s="2"/>
      <c r="I96" s="2"/>
    </row>
    <row r="97" spans="1:9" ht="14.25" customHeight="1">
      <c r="A97" s="2"/>
      <c r="B97" s="2"/>
      <c r="C97" s="2"/>
      <c r="D97" s="2"/>
      <c r="E97" s="2"/>
      <c r="F97" s="2"/>
      <c r="G97" s="2"/>
      <c r="H97" s="2"/>
      <c r="I97" s="2"/>
    </row>
    <row r="98" spans="1:9" ht="14.25" customHeight="1">
      <c r="A98" s="2"/>
      <c r="B98" s="2"/>
      <c r="C98" s="2"/>
      <c r="D98" s="2"/>
      <c r="E98" s="2"/>
      <c r="F98" s="2"/>
      <c r="G98" s="2"/>
      <c r="H98" s="2"/>
      <c r="I98" s="2"/>
    </row>
    <row r="99" spans="1:9" ht="14.25" customHeight="1">
      <c r="A99" s="2"/>
      <c r="B99" s="2"/>
      <c r="C99" s="2"/>
      <c r="D99" s="2"/>
      <c r="E99" s="2"/>
      <c r="F99" s="2"/>
      <c r="G99" s="2"/>
      <c r="H99" s="2"/>
      <c r="I99" s="2"/>
    </row>
    <row r="100" spans="1:9" ht="14.25" customHeight="1">
      <c r="A100" s="2"/>
      <c r="B100" s="2"/>
      <c r="C100" s="2"/>
      <c r="D100" s="2"/>
      <c r="E100" s="2"/>
      <c r="F100" s="2"/>
      <c r="G100" s="2"/>
      <c r="H100" s="2"/>
      <c r="I100" s="2"/>
    </row>
    <row r="101" spans="1:9" ht="14.25" customHeight="1">
      <c r="A101" s="2"/>
      <c r="B101" s="2"/>
      <c r="C101" s="2"/>
      <c r="D101" s="2"/>
      <c r="E101" s="2"/>
      <c r="F101" s="2"/>
      <c r="G101" s="2"/>
      <c r="H101" s="2"/>
      <c r="I101" s="2"/>
    </row>
    <row r="102" spans="1:9" ht="14.25" customHeight="1">
      <c r="A102" s="2"/>
      <c r="B102" s="2"/>
      <c r="C102" s="2"/>
      <c r="D102" s="2"/>
      <c r="E102" s="2"/>
      <c r="F102" s="2"/>
      <c r="G102" s="2"/>
      <c r="H102" s="2"/>
      <c r="I102" s="2"/>
    </row>
    <row r="103" spans="1:9" ht="14.25" customHeight="1">
      <c r="A103" s="2"/>
      <c r="B103" s="2"/>
      <c r="C103" s="2"/>
      <c r="D103" s="2"/>
      <c r="E103" s="2"/>
      <c r="F103" s="2"/>
      <c r="G103" s="2"/>
      <c r="H103" s="2"/>
      <c r="I103" s="2"/>
    </row>
  </sheetData>
  <mergeCells count="14">
    <mergeCell ref="B51:D51"/>
    <mergeCell ref="F51:H51"/>
    <mergeCell ref="D13:E13"/>
    <mergeCell ref="B2:D2"/>
    <mergeCell ref="B3:D3"/>
    <mergeCell ref="F3:H5"/>
    <mergeCell ref="B4:D4"/>
    <mergeCell ref="B5:D5"/>
    <mergeCell ref="B7:D8"/>
    <mergeCell ref="B9:D10"/>
    <mergeCell ref="F9:H10"/>
    <mergeCell ref="B47:D49"/>
    <mergeCell ref="F48:H49"/>
    <mergeCell ref="B50:C50"/>
  </mergeCells>
  <conditionalFormatting sqref="F48:H49">
    <cfRule type="cellIs" dxfId="12" priority="5" operator="equal">
      <formula>0</formula>
    </cfRule>
  </conditionalFormatting>
  <conditionalFormatting sqref="D14:H44">
    <cfRule type="cellIs" dxfId="11" priority="1" operator="equal">
      <formula>""</formula>
    </cfRule>
    <cfRule type="cellIs" dxfId="10" priority="3" operator="notEqual">
      <formula>""</formula>
    </cfRule>
  </conditionalFormatting>
  <pageMargins left="0.7" right="0.7" top="0.78740157499999996" bottom="0.78740157499999996" header="0" footer="0"/>
  <pageSetup paperSize="9" scale="98" fitToWidth="0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D97DF2-2531-497B-B237-A6D3FC45071B}">
  <dimension ref="A1:Q103"/>
  <sheetViews>
    <sheetView topLeftCell="A14" workbookViewId="0">
      <selection activeCell="B9" sqref="B9:D10"/>
    </sheetView>
  </sheetViews>
  <sheetFormatPr baseColWidth="10" defaultColWidth="14.44140625" defaultRowHeight="15" customHeight="1"/>
  <cols>
    <col min="1" max="1" width="5.44140625" customWidth="1"/>
    <col min="2" max="2" width="3.44140625" customWidth="1"/>
    <col min="3" max="3" width="10.109375" bestFit="1" customWidth="1"/>
    <col min="4" max="5" width="10.5546875" customWidth="1"/>
    <col min="6" max="6" width="11.44140625" customWidth="1"/>
    <col min="7" max="7" width="10.88671875" bestFit="1" customWidth="1"/>
    <col min="8" max="8" width="9.88671875" customWidth="1"/>
    <col min="9" max="9" width="6.109375" customWidth="1"/>
    <col min="10" max="11" width="10.6640625" customWidth="1"/>
  </cols>
  <sheetData>
    <row r="1" spans="1:17" ht="14.25" customHeight="1">
      <c r="A1" s="1"/>
      <c r="B1" s="1"/>
      <c r="C1" s="1"/>
      <c r="D1" s="1"/>
      <c r="E1" s="1"/>
      <c r="F1" s="1"/>
      <c r="G1" s="1"/>
      <c r="H1" s="1"/>
      <c r="I1" s="2"/>
    </row>
    <row r="2" spans="1:17" ht="14.25" customHeight="1">
      <c r="A2" s="1"/>
      <c r="B2" s="68" t="s">
        <v>0</v>
      </c>
      <c r="C2" s="69"/>
      <c r="D2" s="70"/>
      <c r="E2" s="1"/>
      <c r="F2" s="1"/>
      <c r="G2" s="1"/>
      <c r="H2" s="1"/>
      <c r="I2" s="2"/>
    </row>
    <row r="3" spans="1:17" ht="14.25" customHeight="1">
      <c r="A3" s="1"/>
      <c r="B3" s="30" t="s">
        <v>19</v>
      </c>
      <c r="C3" s="31"/>
      <c r="D3" s="32"/>
      <c r="E3" s="1"/>
      <c r="F3" s="33" t="e" vm="3">
        <f>Eingabedaten!B14</f>
        <v>#VALUE!</v>
      </c>
      <c r="G3" s="34"/>
      <c r="H3" s="35"/>
      <c r="I3" s="2"/>
    </row>
    <row r="4" spans="1:17" ht="14.25" customHeight="1">
      <c r="A4" s="1"/>
      <c r="B4" s="42" t="s">
        <v>20</v>
      </c>
      <c r="C4" s="28"/>
      <c r="D4" s="43"/>
      <c r="E4" s="1"/>
      <c r="F4" s="36"/>
      <c r="G4" s="37"/>
      <c r="H4" s="38"/>
      <c r="I4" s="2"/>
    </row>
    <row r="5" spans="1:17" ht="14.25" customHeight="1">
      <c r="A5" s="1"/>
      <c r="B5" s="44" t="s">
        <v>21</v>
      </c>
      <c r="C5" s="45"/>
      <c r="D5" s="46"/>
      <c r="E5" s="1"/>
      <c r="F5" s="39"/>
      <c r="G5" s="40"/>
      <c r="H5" s="41"/>
      <c r="I5" s="2"/>
    </row>
    <row r="6" spans="1:17" ht="14.25" customHeight="1">
      <c r="A6" s="1"/>
      <c r="B6" s="1"/>
      <c r="C6" s="1"/>
      <c r="D6" s="1"/>
      <c r="E6" s="1"/>
      <c r="F6" s="1"/>
      <c r="G6" s="1"/>
      <c r="H6" s="1"/>
      <c r="I6" s="2"/>
    </row>
    <row r="7" spans="1:17" ht="14.25" customHeight="1">
      <c r="A7" s="1"/>
      <c r="B7" s="47" t="s">
        <v>1</v>
      </c>
      <c r="C7" s="34"/>
      <c r="D7" s="35"/>
      <c r="E7" s="1"/>
      <c r="G7" s="19"/>
      <c r="H7" s="19"/>
      <c r="I7" s="2"/>
    </row>
    <row r="8" spans="1:17" ht="14.25" customHeight="1">
      <c r="A8" s="1"/>
      <c r="B8" s="41"/>
      <c r="C8" s="41"/>
      <c r="D8" s="41"/>
      <c r="E8" s="1"/>
      <c r="F8" s="19" t="s">
        <v>2</v>
      </c>
      <c r="G8" s="19"/>
      <c r="H8" s="19"/>
      <c r="I8" s="2"/>
    </row>
    <row r="9" spans="1:17" ht="14.25" customHeight="1" thickBot="1">
      <c r="A9" s="1"/>
      <c r="B9" s="56">
        <v>45931</v>
      </c>
      <c r="C9" s="57"/>
      <c r="D9" s="58"/>
      <c r="E9" s="1"/>
      <c r="F9" s="62" t="str">
        <f>Eingabedaten!C4 &amp; ", " &amp; Eingabedaten!C3</f>
        <v>Sternicki, Michael</v>
      </c>
      <c r="G9" s="63"/>
      <c r="H9" s="64"/>
      <c r="I9" s="2"/>
    </row>
    <row r="10" spans="1:17" ht="14.25" customHeight="1">
      <c r="A10" s="1"/>
      <c r="B10" s="59"/>
      <c r="C10" s="60"/>
      <c r="D10" s="61"/>
      <c r="F10" s="65"/>
      <c r="G10" s="66"/>
      <c r="H10" s="67"/>
    </row>
    <row r="11" spans="1:17" ht="14.25" customHeight="1">
      <c r="A11" s="1"/>
      <c r="B11" s="17"/>
      <c r="C11" s="17"/>
      <c r="D11" s="17"/>
      <c r="F11" s="17"/>
      <c r="G11" s="17"/>
      <c r="H11" s="17"/>
    </row>
    <row r="12" spans="1:17" ht="14.25" customHeight="1">
      <c r="A12" s="1"/>
      <c r="B12" s="77"/>
      <c r="C12" s="78"/>
      <c r="D12" s="1"/>
      <c r="E12" s="1"/>
      <c r="F12" s="1"/>
      <c r="G12" s="1"/>
      <c r="H12" s="1"/>
    </row>
    <row r="13" spans="1:17" ht="14.25" customHeight="1">
      <c r="A13" s="1"/>
      <c r="B13" s="3" t="s">
        <v>4</v>
      </c>
      <c r="C13" s="3" t="s">
        <v>5</v>
      </c>
      <c r="D13" s="23" t="s">
        <v>6</v>
      </c>
      <c r="E13" s="24"/>
      <c r="F13" s="3" t="s">
        <v>7</v>
      </c>
      <c r="G13" s="3" t="s">
        <v>8</v>
      </c>
      <c r="H13" s="3" t="s">
        <v>9</v>
      </c>
      <c r="K13" s="18"/>
      <c r="L13" s="18"/>
      <c r="M13" s="18"/>
      <c r="N13" s="18"/>
      <c r="O13" s="18"/>
      <c r="P13" s="18"/>
      <c r="Q13" s="18"/>
    </row>
    <row r="14" spans="1:17" ht="14.25" customHeight="1">
      <c r="A14" s="1"/>
      <c r="B14" s="20" t="str">
        <f>TEXT(C14,"TTT")</f>
        <v>Mi</v>
      </c>
      <c r="C14" s="5">
        <f>B9</f>
        <v>45931</v>
      </c>
      <c r="D14" s="6">
        <f>IF(OR(B14="Sa",B14="So"), "", TIME(8,30,0))</f>
        <v>0.35416666666666669</v>
      </c>
      <c r="E14" s="6">
        <f>IF(OR(B14="Sa",B14="So"), "", TIME(17,0,0))</f>
        <v>0.70833333333333337</v>
      </c>
      <c r="F14" s="4">
        <f>IF(OR(B14="Sa",B14="So"), "", 30)</f>
        <v>30</v>
      </c>
      <c r="G14" s="4">
        <f>IF(B14="Sa",SUM(G9:G13),IF(B14="So","",(E14-D14)*24-F14/60))</f>
        <v>8</v>
      </c>
      <c r="H14" s="4" t="s">
        <v>16</v>
      </c>
      <c r="K14" s="18"/>
      <c r="L14" s="18"/>
      <c r="M14" s="18"/>
      <c r="N14" s="18"/>
      <c r="O14" s="18"/>
      <c r="P14" s="18"/>
      <c r="Q14" s="18"/>
    </row>
    <row r="15" spans="1:17" ht="14.25" customHeight="1">
      <c r="A15" s="1"/>
      <c r="B15" s="20" t="str">
        <f t="shared" ref="B15:B45" si="0">TEXT(C15,"TTT")</f>
        <v>Do</v>
      </c>
      <c r="C15" s="5">
        <f>C14+1</f>
        <v>45932</v>
      </c>
      <c r="D15" s="6">
        <f t="shared" ref="D15:D45" si="1">IF(OR(B15="Sa",B15="So"), "", TIME(8,30,0))</f>
        <v>0.35416666666666669</v>
      </c>
      <c r="E15" s="6">
        <f t="shared" ref="E15:E45" si="2">IF(OR(B15="Sa",B15="So"), "", TIME(17,0,0))</f>
        <v>0.70833333333333337</v>
      </c>
      <c r="F15" s="4">
        <f t="shared" ref="F15:F45" si="3">IF(OR(B15="Sa",B15="So"), "", 30)</f>
        <v>30</v>
      </c>
      <c r="G15" s="4">
        <f t="shared" ref="G15:G45" si="4">IF(B15="Sa",SUM(G10:G14),IF(B15="So","",(E15-D15)*24-F15/60))</f>
        <v>8</v>
      </c>
      <c r="H15" s="4" t="s">
        <v>16</v>
      </c>
      <c r="K15" s="18"/>
      <c r="L15" s="18"/>
      <c r="M15" s="18"/>
      <c r="N15" s="18"/>
      <c r="O15" s="18"/>
      <c r="P15" s="18"/>
      <c r="Q15" s="18"/>
    </row>
    <row r="16" spans="1:17" ht="14.25" customHeight="1">
      <c r="A16" s="1"/>
      <c r="B16" s="20" t="str">
        <f t="shared" si="0"/>
        <v>Fr</v>
      </c>
      <c r="C16" s="5">
        <f t="shared" ref="C16:C44" si="5">C15+1</f>
        <v>45933</v>
      </c>
      <c r="D16" s="6">
        <f t="shared" si="1"/>
        <v>0.35416666666666669</v>
      </c>
      <c r="E16" s="6">
        <f t="shared" si="2"/>
        <v>0.70833333333333337</v>
      </c>
      <c r="F16" s="4">
        <f t="shared" si="3"/>
        <v>30</v>
      </c>
      <c r="G16" s="4">
        <f t="shared" si="4"/>
        <v>8</v>
      </c>
      <c r="H16" s="4" t="s">
        <v>16</v>
      </c>
      <c r="K16" s="18"/>
      <c r="L16" s="18"/>
      <c r="M16" s="18"/>
      <c r="N16" s="18"/>
      <c r="O16" s="18"/>
      <c r="P16" s="18"/>
      <c r="Q16" s="18"/>
    </row>
    <row r="17" spans="1:17" ht="14.25" customHeight="1">
      <c r="A17" s="1"/>
      <c r="B17" s="20" t="str">
        <f t="shared" si="0"/>
        <v>Sa</v>
      </c>
      <c r="C17" s="5">
        <f t="shared" si="5"/>
        <v>45934</v>
      </c>
      <c r="D17" s="6" t="str">
        <f>IF(OR(B17="Sa",B17="So"), "", TIME(8,30,0))</f>
        <v/>
      </c>
      <c r="E17" s="6" t="str">
        <f t="shared" si="2"/>
        <v/>
      </c>
      <c r="F17" s="4" t="str">
        <f t="shared" si="3"/>
        <v/>
      </c>
      <c r="G17" s="4">
        <f t="shared" si="4"/>
        <v>24</v>
      </c>
      <c r="H17" s="15" t="s">
        <v>16</v>
      </c>
      <c r="K17" s="18"/>
      <c r="L17" s="18"/>
      <c r="M17" s="18"/>
      <c r="N17" s="18"/>
      <c r="O17" s="18"/>
      <c r="P17" s="18"/>
      <c r="Q17" s="18"/>
    </row>
    <row r="18" spans="1:17" ht="14.25" customHeight="1">
      <c r="A18" s="1"/>
      <c r="B18" s="20" t="str">
        <f t="shared" si="0"/>
        <v>So</v>
      </c>
      <c r="C18" s="5">
        <f t="shared" si="5"/>
        <v>45935</v>
      </c>
      <c r="D18" s="6" t="str">
        <f t="shared" si="1"/>
        <v/>
      </c>
      <c r="E18" s="6" t="str">
        <f t="shared" si="2"/>
        <v/>
      </c>
      <c r="F18" s="4" t="str">
        <f t="shared" si="3"/>
        <v/>
      </c>
      <c r="G18" s="4" t="str">
        <f t="shared" si="4"/>
        <v/>
      </c>
      <c r="H18" s="15" t="s">
        <v>16</v>
      </c>
      <c r="K18" s="18"/>
      <c r="L18" s="18"/>
      <c r="M18" s="18"/>
      <c r="N18" s="18"/>
      <c r="O18" s="18"/>
      <c r="P18" s="18"/>
      <c r="Q18" s="18"/>
    </row>
    <row r="19" spans="1:17" ht="14.25" customHeight="1">
      <c r="A19" s="1"/>
      <c r="B19" s="20" t="str">
        <f t="shared" si="0"/>
        <v>Mo</v>
      </c>
      <c r="C19" s="5">
        <f t="shared" si="5"/>
        <v>45936</v>
      </c>
      <c r="D19" s="6">
        <f t="shared" si="1"/>
        <v>0.35416666666666669</v>
      </c>
      <c r="E19" s="6">
        <f t="shared" si="2"/>
        <v>0.70833333333333337</v>
      </c>
      <c r="F19" s="4">
        <f t="shared" si="3"/>
        <v>30</v>
      </c>
      <c r="G19" s="4">
        <f t="shared" si="4"/>
        <v>8</v>
      </c>
      <c r="H19" s="15" t="s">
        <v>16</v>
      </c>
      <c r="K19" s="18"/>
      <c r="L19" s="18"/>
      <c r="M19" s="18"/>
      <c r="N19" s="18"/>
      <c r="O19" s="18"/>
      <c r="P19" s="18"/>
      <c r="Q19" s="18"/>
    </row>
    <row r="20" spans="1:17" ht="14.25" customHeight="1">
      <c r="A20" s="1"/>
      <c r="B20" s="20" t="str">
        <f t="shared" si="0"/>
        <v>Di</v>
      </c>
      <c r="C20" s="5">
        <f t="shared" si="5"/>
        <v>45937</v>
      </c>
      <c r="D20" s="6">
        <f t="shared" si="1"/>
        <v>0.35416666666666669</v>
      </c>
      <c r="E20" s="6">
        <f t="shared" si="2"/>
        <v>0.70833333333333337</v>
      </c>
      <c r="F20" s="4">
        <f t="shared" si="3"/>
        <v>30</v>
      </c>
      <c r="G20" s="4">
        <f t="shared" si="4"/>
        <v>8</v>
      </c>
      <c r="H20" s="15" t="s">
        <v>16</v>
      </c>
      <c r="K20" s="18"/>
      <c r="L20" s="18"/>
      <c r="M20" s="18"/>
      <c r="N20" s="18"/>
      <c r="O20" s="18"/>
      <c r="P20" s="18"/>
      <c r="Q20" s="18"/>
    </row>
    <row r="21" spans="1:17" ht="14.25" customHeight="1">
      <c r="A21" s="14"/>
      <c r="B21" s="20" t="str">
        <f t="shared" si="0"/>
        <v>Mi</v>
      </c>
      <c r="C21" s="5">
        <f t="shared" si="5"/>
        <v>45938</v>
      </c>
      <c r="D21" s="6">
        <f t="shared" si="1"/>
        <v>0.35416666666666669</v>
      </c>
      <c r="E21" s="6">
        <f t="shared" si="2"/>
        <v>0.70833333333333337</v>
      </c>
      <c r="F21" s="4">
        <f t="shared" si="3"/>
        <v>30</v>
      </c>
      <c r="G21" s="4">
        <f t="shared" si="4"/>
        <v>8</v>
      </c>
      <c r="H21" s="15" t="s">
        <v>16</v>
      </c>
      <c r="K21" s="18"/>
      <c r="L21" s="18"/>
      <c r="M21" s="18"/>
      <c r="N21" s="18"/>
      <c r="O21" s="18"/>
      <c r="P21" s="18"/>
      <c r="Q21" s="18"/>
    </row>
    <row r="22" spans="1:17" ht="14.25" customHeight="1">
      <c r="A22" s="1"/>
      <c r="B22" s="20" t="str">
        <f t="shared" si="0"/>
        <v>Do</v>
      </c>
      <c r="C22" s="5">
        <f t="shared" si="5"/>
        <v>45939</v>
      </c>
      <c r="D22" s="6">
        <f t="shared" si="1"/>
        <v>0.35416666666666669</v>
      </c>
      <c r="E22" s="6">
        <f t="shared" si="2"/>
        <v>0.70833333333333337</v>
      </c>
      <c r="F22" s="4">
        <f t="shared" si="3"/>
        <v>30</v>
      </c>
      <c r="G22" s="4">
        <f t="shared" si="4"/>
        <v>8</v>
      </c>
      <c r="H22" s="15" t="s">
        <v>16</v>
      </c>
      <c r="K22" s="18"/>
      <c r="L22" s="18"/>
      <c r="M22" s="18"/>
      <c r="N22" s="18"/>
      <c r="O22" s="18"/>
      <c r="P22" s="18"/>
      <c r="Q22" s="18"/>
    </row>
    <row r="23" spans="1:17" ht="14.25" customHeight="1">
      <c r="A23" s="1"/>
      <c r="B23" s="20" t="str">
        <f t="shared" si="0"/>
        <v>Fr</v>
      </c>
      <c r="C23" s="5">
        <f t="shared" si="5"/>
        <v>45940</v>
      </c>
      <c r="D23" s="6">
        <f t="shared" si="1"/>
        <v>0.35416666666666669</v>
      </c>
      <c r="E23" s="6">
        <f t="shared" si="2"/>
        <v>0.70833333333333337</v>
      </c>
      <c r="F23" s="4">
        <f t="shared" si="3"/>
        <v>30</v>
      </c>
      <c r="G23" s="4">
        <f t="shared" si="4"/>
        <v>8</v>
      </c>
      <c r="H23" s="15" t="s">
        <v>16</v>
      </c>
    </row>
    <row r="24" spans="1:17" ht="14.25" customHeight="1">
      <c r="A24" s="1"/>
      <c r="B24" s="20" t="str">
        <f t="shared" si="0"/>
        <v>Sa</v>
      </c>
      <c r="C24" s="5">
        <f t="shared" si="5"/>
        <v>45941</v>
      </c>
      <c r="D24" s="6" t="str">
        <f t="shared" si="1"/>
        <v/>
      </c>
      <c r="E24" s="6" t="str">
        <f t="shared" si="2"/>
        <v/>
      </c>
      <c r="F24" s="4" t="str">
        <f t="shared" si="3"/>
        <v/>
      </c>
      <c r="G24" s="4">
        <f t="shared" si="4"/>
        <v>40</v>
      </c>
      <c r="H24" s="15" t="s">
        <v>16</v>
      </c>
    </row>
    <row r="25" spans="1:17" ht="14.25" customHeight="1">
      <c r="A25" s="1"/>
      <c r="B25" s="20" t="str">
        <f t="shared" si="0"/>
        <v>So</v>
      </c>
      <c r="C25" s="5">
        <f t="shared" si="5"/>
        <v>45942</v>
      </c>
      <c r="D25" s="6" t="str">
        <f t="shared" si="1"/>
        <v/>
      </c>
      <c r="E25" s="6" t="str">
        <f t="shared" si="2"/>
        <v/>
      </c>
      <c r="F25" s="4" t="str">
        <f t="shared" si="3"/>
        <v/>
      </c>
      <c r="G25" s="4" t="str">
        <f t="shared" si="4"/>
        <v/>
      </c>
      <c r="H25" s="15" t="s">
        <v>16</v>
      </c>
    </row>
    <row r="26" spans="1:17" ht="14.25" customHeight="1">
      <c r="A26" s="1"/>
      <c r="B26" s="20" t="str">
        <f t="shared" si="0"/>
        <v>Mo</v>
      </c>
      <c r="C26" s="5">
        <f t="shared" si="5"/>
        <v>45943</v>
      </c>
      <c r="D26" s="6"/>
      <c r="E26" s="6"/>
      <c r="F26" s="4"/>
      <c r="G26" s="4">
        <f t="shared" si="4"/>
        <v>0</v>
      </c>
      <c r="H26" s="81" t="s">
        <v>35</v>
      </c>
    </row>
    <row r="27" spans="1:17" ht="14.25" customHeight="1">
      <c r="A27" s="1"/>
      <c r="B27" s="20" t="str">
        <f t="shared" si="0"/>
        <v>Di</v>
      </c>
      <c r="C27" s="5">
        <f t="shared" si="5"/>
        <v>45944</v>
      </c>
      <c r="D27" s="6"/>
      <c r="E27" s="6"/>
      <c r="F27" s="4"/>
      <c r="G27" s="4">
        <f t="shared" si="4"/>
        <v>0</v>
      </c>
      <c r="H27" s="81" t="str">
        <f>H26</f>
        <v>Keine Praktikumzeit</v>
      </c>
    </row>
    <row r="28" spans="1:17" ht="14.25" customHeight="1">
      <c r="A28" s="1"/>
      <c r="B28" s="20" t="str">
        <f t="shared" si="0"/>
        <v>Mi</v>
      </c>
      <c r="C28" s="5">
        <f t="shared" si="5"/>
        <v>45945</v>
      </c>
      <c r="D28" s="6"/>
      <c r="E28" s="6"/>
      <c r="F28" s="4"/>
      <c r="G28" s="4">
        <f t="shared" si="4"/>
        <v>0</v>
      </c>
      <c r="H28" s="81" t="s">
        <v>35</v>
      </c>
    </row>
    <row r="29" spans="1:17" ht="14.25" customHeight="1">
      <c r="A29" s="1"/>
      <c r="B29" s="20" t="str">
        <f t="shared" si="0"/>
        <v>Do</v>
      </c>
      <c r="C29" s="5">
        <f t="shared" si="5"/>
        <v>45946</v>
      </c>
      <c r="D29" s="6"/>
      <c r="E29" s="6"/>
      <c r="F29" s="4"/>
      <c r="G29" s="4">
        <f t="shared" si="4"/>
        <v>0</v>
      </c>
      <c r="H29" s="81" t="str">
        <f t="shared" ref="H29:H31" si="6">H28</f>
        <v>Keine Praktikumzeit</v>
      </c>
    </row>
    <row r="30" spans="1:17" ht="14.25" customHeight="1">
      <c r="A30" s="1"/>
      <c r="B30" s="20" t="str">
        <f t="shared" si="0"/>
        <v>Fr</v>
      </c>
      <c r="C30" s="5">
        <f t="shared" si="5"/>
        <v>45947</v>
      </c>
      <c r="D30" s="6"/>
      <c r="E30" s="6"/>
      <c r="F30" s="4"/>
      <c r="G30" s="4">
        <f t="shared" si="4"/>
        <v>0</v>
      </c>
      <c r="H30" s="81" t="s">
        <v>35</v>
      </c>
    </row>
    <row r="31" spans="1:17" ht="14.25" customHeight="1">
      <c r="A31" s="1"/>
      <c r="B31" s="20" t="str">
        <f t="shared" si="0"/>
        <v>Sa</v>
      </c>
      <c r="C31" s="5">
        <f t="shared" si="5"/>
        <v>45948</v>
      </c>
      <c r="D31" s="6" t="str">
        <f t="shared" si="1"/>
        <v/>
      </c>
      <c r="E31" s="6" t="str">
        <f t="shared" si="2"/>
        <v/>
      </c>
      <c r="F31" s="4" t="str">
        <f t="shared" si="3"/>
        <v/>
      </c>
      <c r="G31" s="4">
        <f t="shared" si="4"/>
        <v>0</v>
      </c>
      <c r="H31" s="81"/>
    </row>
    <row r="32" spans="1:17" ht="14.25" customHeight="1">
      <c r="A32" s="1"/>
      <c r="B32" s="20" t="str">
        <f t="shared" si="0"/>
        <v>So</v>
      </c>
      <c r="C32" s="5">
        <f t="shared" si="5"/>
        <v>45949</v>
      </c>
      <c r="D32" s="6" t="str">
        <f t="shared" si="1"/>
        <v/>
      </c>
      <c r="E32" s="6" t="str">
        <f t="shared" si="2"/>
        <v/>
      </c>
      <c r="F32" s="4" t="str">
        <f t="shared" si="3"/>
        <v/>
      </c>
      <c r="G32" s="4" t="str">
        <f t="shared" si="4"/>
        <v/>
      </c>
      <c r="H32" s="15" t="s">
        <v>16</v>
      </c>
    </row>
    <row r="33" spans="1:9" ht="14.25" customHeight="1">
      <c r="A33" s="1"/>
      <c r="B33" s="20" t="str">
        <f t="shared" si="0"/>
        <v>Mo</v>
      </c>
      <c r="C33" s="5">
        <f t="shared" si="5"/>
        <v>45950</v>
      </c>
      <c r="D33" s="6">
        <f t="shared" si="1"/>
        <v>0.35416666666666669</v>
      </c>
      <c r="E33" s="6">
        <f t="shared" si="2"/>
        <v>0.70833333333333337</v>
      </c>
      <c r="F33" s="4">
        <f t="shared" si="3"/>
        <v>30</v>
      </c>
      <c r="G33" s="4">
        <f t="shared" si="4"/>
        <v>8</v>
      </c>
      <c r="H33" s="15" t="s">
        <v>16</v>
      </c>
    </row>
    <row r="34" spans="1:9" ht="14.25" customHeight="1">
      <c r="A34" s="1"/>
      <c r="B34" s="20" t="str">
        <f t="shared" si="0"/>
        <v>Di</v>
      </c>
      <c r="C34" s="5">
        <f t="shared" si="5"/>
        <v>45951</v>
      </c>
      <c r="D34" s="6">
        <f t="shared" si="1"/>
        <v>0.35416666666666669</v>
      </c>
      <c r="E34" s="6">
        <f t="shared" si="2"/>
        <v>0.70833333333333337</v>
      </c>
      <c r="F34" s="4">
        <f t="shared" si="3"/>
        <v>30</v>
      </c>
      <c r="G34" s="4">
        <f t="shared" si="4"/>
        <v>8</v>
      </c>
      <c r="H34" s="15" t="s">
        <v>16</v>
      </c>
      <c r="I34" s="2"/>
    </row>
    <row r="35" spans="1:9" ht="14.25" customHeight="1">
      <c r="A35" s="1"/>
      <c r="B35" s="20" t="str">
        <f t="shared" si="0"/>
        <v>Mi</v>
      </c>
      <c r="C35" s="5">
        <f t="shared" si="5"/>
        <v>45952</v>
      </c>
      <c r="D35" s="6">
        <f t="shared" si="1"/>
        <v>0.35416666666666669</v>
      </c>
      <c r="E35" s="6">
        <f t="shared" si="2"/>
        <v>0.70833333333333337</v>
      </c>
      <c r="F35" s="4">
        <f t="shared" si="3"/>
        <v>30</v>
      </c>
      <c r="G35" s="4">
        <f t="shared" si="4"/>
        <v>8</v>
      </c>
      <c r="H35" s="15" t="s">
        <v>16</v>
      </c>
      <c r="I35" s="2"/>
    </row>
    <row r="36" spans="1:9" ht="14.25" customHeight="1">
      <c r="A36" s="1"/>
      <c r="B36" s="20" t="str">
        <f t="shared" si="0"/>
        <v>Do</v>
      </c>
      <c r="C36" s="5">
        <f t="shared" si="5"/>
        <v>45953</v>
      </c>
      <c r="D36" s="6">
        <f t="shared" si="1"/>
        <v>0.35416666666666669</v>
      </c>
      <c r="E36" s="6">
        <f t="shared" si="2"/>
        <v>0.70833333333333337</v>
      </c>
      <c r="F36" s="4">
        <f t="shared" si="3"/>
        <v>30</v>
      </c>
      <c r="G36" s="4">
        <f t="shared" si="4"/>
        <v>8</v>
      </c>
      <c r="H36" s="15" t="s">
        <v>16</v>
      </c>
      <c r="I36" s="2"/>
    </row>
    <row r="37" spans="1:9" ht="14.25" customHeight="1">
      <c r="A37" s="1"/>
      <c r="B37" s="20" t="str">
        <f t="shared" si="0"/>
        <v>Fr</v>
      </c>
      <c r="C37" s="5">
        <f t="shared" si="5"/>
        <v>45954</v>
      </c>
      <c r="D37" s="6">
        <f t="shared" si="1"/>
        <v>0.35416666666666669</v>
      </c>
      <c r="E37" s="6">
        <f t="shared" si="2"/>
        <v>0.70833333333333337</v>
      </c>
      <c r="F37" s="4">
        <f t="shared" si="3"/>
        <v>30</v>
      </c>
      <c r="G37" s="4">
        <f t="shared" si="4"/>
        <v>8</v>
      </c>
      <c r="H37" s="15" t="s">
        <v>16</v>
      </c>
      <c r="I37" s="2"/>
    </row>
    <row r="38" spans="1:9" ht="14.25" customHeight="1">
      <c r="A38" s="1"/>
      <c r="B38" s="20" t="str">
        <f t="shared" si="0"/>
        <v>Sa</v>
      </c>
      <c r="C38" s="5">
        <f t="shared" si="5"/>
        <v>45955</v>
      </c>
      <c r="D38" s="6" t="str">
        <f t="shared" si="1"/>
        <v/>
      </c>
      <c r="E38" s="6" t="str">
        <f t="shared" si="2"/>
        <v/>
      </c>
      <c r="F38" s="4" t="str">
        <f t="shared" si="3"/>
        <v/>
      </c>
      <c r="G38" s="4">
        <f t="shared" si="4"/>
        <v>40</v>
      </c>
      <c r="H38" s="15" t="s">
        <v>16</v>
      </c>
      <c r="I38" s="2"/>
    </row>
    <row r="39" spans="1:9" ht="14.25" customHeight="1">
      <c r="A39" s="1"/>
      <c r="B39" s="20" t="str">
        <f t="shared" si="0"/>
        <v>So</v>
      </c>
      <c r="C39" s="5">
        <f t="shared" si="5"/>
        <v>45956</v>
      </c>
      <c r="D39" s="6" t="str">
        <f t="shared" si="1"/>
        <v/>
      </c>
      <c r="E39" s="6" t="str">
        <f t="shared" si="2"/>
        <v/>
      </c>
      <c r="F39" s="4" t="str">
        <f t="shared" si="3"/>
        <v/>
      </c>
      <c r="G39" s="4" t="str">
        <f t="shared" si="4"/>
        <v/>
      </c>
      <c r="H39" s="15" t="s">
        <v>16</v>
      </c>
      <c r="I39" s="2"/>
    </row>
    <row r="40" spans="1:9" ht="14.25" customHeight="1">
      <c r="A40" s="1"/>
      <c r="B40" s="20" t="str">
        <f t="shared" si="0"/>
        <v>Mo</v>
      </c>
      <c r="C40" s="5">
        <f t="shared" si="5"/>
        <v>45957</v>
      </c>
      <c r="D40" s="6">
        <f t="shared" si="1"/>
        <v>0.35416666666666669</v>
      </c>
      <c r="E40" s="6">
        <f t="shared" si="2"/>
        <v>0.70833333333333337</v>
      </c>
      <c r="F40" s="4">
        <f t="shared" si="3"/>
        <v>30</v>
      </c>
      <c r="G40" s="4">
        <f t="shared" si="4"/>
        <v>8</v>
      </c>
      <c r="H40" s="15" t="s">
        <v>16</v>
      </c>
      <c r="I40" s="2"/>
    </row>
    <row r="41" spans="1:9" ht="14.25" customHeight="1">
      <c r="A41" s="1"/>
      <c r="B41" s="20" t="str">
        <f t="shared" si="0"/>
        <v>Di</v>
      </c>
      <c r="C41" s="5">
        <f t="shared" si="5"/>
        <v>45958</v>
      </c>
      <c r="D41" s="6">
        <f t="shared" si="1"/>
        <v>0.35416666666666669</v>
      </c>
      <c r="E41" s="6">
        <f t="shared" si="2"/>
        <v>0.70833333333333337</v>
      </c>
      <c r="F41" s="4">
        <f t="shared" si="3"/>
        <v>30</v>
      </c>
      <c r="G41" s="4">
        <f t="shared" si="4"/>
        <v>8</v>
      </c>
      <c r="H41" s="15" t="s">
        <v>16</v>
      </c>
      <c r="I41" s="2"/>
    </row>
    <row r="42" spans="1:9" ht="14.25" customHeight="1">
      <c r="A42" s="1"/>
      <c r="B42" s="20" t="str">
        <f t="shared" si="0"/>
        <v>Mi</v>
      </c>
      <c r="C42" s="5">
        <f t="shared" si="5"/>
        <v>45959</v>
      </c>
      <c r="D42" s="6">
        <f t="shared" si="1"/>
        <v>0.35416666666666669</v>
      </c>
      <c r="E42" s="6">
        <f t="shared" si="2"/>
        <v>0.70833333333333337</v>
      </c>
      <c r="F42" s="4">
        <f t="shared" si="3"/>
        <v>30</v>
      </c>
      <c r="G42" s="4">
        <f t="shared" si="4"/>
        <v>8</v>
      </c>
      <c r="H42" s="15" t="s">
        <v>16</v>
      </c>
      <c r="I42" s="2"/>
    </row>
    <row r="43" spans="1:9" ht="14.25" customHeight="1">
      <c r="A43" s="1"/>
      <c r="B43" s="20" t="str">
        <f t="shared" si="0"/>
        <v>Do</v>
      </c>
      <c r="C43" s="5">
        <f t="shared" si="5"/>
        <v>45960</v>
      </c>
      <c r="D43" s="6">
        <f t="shared" si="1"/>
        <v>0.35416666666666669</v>
      </c>
      <c r="E43" s="6">
        <f t="shared" si="2"/>
        <v>0.70833333333333337</v>
      </c>
      <c r="F43" s="4">
        <f t="shared" si="3"/>
        <v>30</v>
      </c>
      <c r="G43" s="4">
        <f t="shared" si="4"/>
        <v>8</v>
      </c>
      <c r="H43" s="15" t="s">
        <v>16</v>
      </c>
      <c r="I43" s="2"/>
    </row>
    <row r="44" spans="1:9" ht="14.25" customHeight="1">
      <c r="A44" s="14"/>
      <c r="B44" s="20" t="str">
        <f t="shared" si="0"/>
        <v>Fr</v>
      </c>
      <c r="C44" s="5">
        <f t="shared" si="5"/>
        <v>45961</v>
      </c>
      <c r="D44" s="6">
        <f t="shared" si="1"/>
        <v>0.35416666666666669</v>
      </c>
      <c r="E44" s="6">
        <f t="shared" si="2"/>
        <v>0.70833333333333337</v>
      </c>
      <c r="F44" s="4">
        <f t="shared" si="3"/>
        <v>30</v>
      </c>
      <c r="G44" s="4">
        <f t="shared" si="4"/>
        <v>8</v>
      </c>
      <c r="H44" s="15" t="s">
        <v>16</v>
      </c>
      <c r="I44" s="2"/>
    </row>
    <row r="45" spans="1:9" ht="14.25" customHeight="1">
      <c r="A45" s="14"/>
      <c r="B45" s="75" t="str">
        <f t="shared" si="0"/>
        <v>Sa</v>
      </c>
      <c r="C45" s="76">
        <f>C44+1</f>
        <v>45962</v>
      </c>
      <c r="D45" s="79" t="str">
        <f t="shared" si="1"/>
        <v/>
      </c>
      <c r="E45" s="79" t="str">
        <f t="shared" si="2"/>
        <v/>
      </c>
      <c r="F45" s="80" t="str">
        <f t="shared" si="3"/>
        <v/>
      </c>
      <c r="G45" s="4">
        <f t="shared" si="4"/>
        <v>40</v>
      </c>
      <c r="H45" s="74"/>
      <c r="I45" s="2"/>
    </row>
    <row r="46" spans="1:9" ht="14.25" customHeight="1">
      <c r="A46" s="14"/>
      <c r="B46" s="71"/>
      <c r="C46" s="72"/>
      <c r="D46" s="73"/>
      <c r="E46" s="73"/>
      <c r="F46" s="14"/>
      <c r="G46" s="14"/>
      <c r="H46" s="74"/>
      <c r="I46" s="2"/>
    </row>
    <row r="47" spans="1:9" ht="14.25" customHeight="1">
      <c r="A47" s="1"/>
      <c r="B47" s="22" t="e" vm="4">
        <f>Eingabedaten!B18</f>
        <v>#VALUE!</v>
      </c>
      <c r="C47" s="22"/>
      <c r="D47" s="22"/>
      <c r="E47" s="1"/>
      <c r="F47" s="1"/>
      <c r="G47" s="1"/>
      <c r="H47" s="1"/>
      <c r="I47" s="2"/>
    </row>
    <row r="48" spans="1:9" ht="14.25" customHeight="1">
      <c r="A48" s="1"/>
      <c r="B48" s="22"/>
      <c r="C48" s="22"/>
      <c r="D48" s="22"/>
      <c r="E48" s="1"/>
      <c r="F48" s="22">
        <f>Eingabedaten!B22</f>
        <v>0</v>
      </c>
      <c r="G48" s="22"/>
      <c r="H48" s="22"/>
      <c r="I48" s="2"/>
    </row>
    <row r="49" spans="1:9" ht="14.25" customHeight="1">
      <c r="A49" s="1"/>
      <c r="B49" s="22"/>
      <c r="C49" s="22"/>
      <c r="D49" s="22"/>
      <c r="E49" s="14"/>
      <c r="F49" s="22"/>
      <c r="G49" s="22"/>
      <c r="H49" s="22"/>
    </row>
    <row r="50" spans="1:9" ht="14.25" customHeight="1" thickBot="1">
      <c r="A50" s="1"/>
      <c r="B50" s="25">
        <f>C44</f>
        <v>45961</v>
      </c>
      <c r="C50" s="26"/>
      <c r="D50" s="7"/>
      <c r="E50" s="1"/>
      <c r="F50" s="13">
        <f>B50</f>
        <v>45961</v>
      </c>
      <c r="G50" s="7"/>
      <c r="H50" s="7"/>
    </row>
    <row r="51" spans="1:9" ht="14.25" customHeight="1">
      <c r="A51" s="2"/>
      <c r="B51" s="27" t="s">
        <v>17</v>
      </c>
      <c r="C51" s="28"/>
      <c r="D51" s="29"/>
      <c r="E51" s="1"/>
      <c r="F51" s="27" t="s">
        <v>18</v>
      </c>
      <c r="G51" s="28"/>
      <c r="H51" s="29"/>
    </row>
    <row r="52" spans="1:9" ht="14.25" customHeight="1">
      <c r="A52" s="2"/>
    </row>
    <row r="53" spans="1:9" ht="14.25" customHeight="1">
      <c r="A53" s="2"/>
    </row>
    <row r="54" spans="1:9" ht="14.25" customHeight="1">
      <c r="A54" s="2"/>
      <c r="I54" s="2"/>
    </row>
    <row r="55" spans="1:9" ht="14.25" customHeight="1">
      <c r="A55" s="2"/>
      <c r="B55" s="2"/>
      <c r="C55" s="2"/>
      <c r="D55" s="2"/>
      <c r="E55" s="2"/>
      <c r="F55" s="2"/>
      <c r="G55" s="2"/>
      <c r="H55" s="2"/>
      <c r="I55" s="2"/>
    </row>
    <row r="56" spans="1:9" ht="14.25" customHeight="1">
      <c r="A56" s="2"/>
      <c r="B56" s="2"/>
      <c r="C56" s="2"/>
      <c r="D56" s="2"/>
      <c r="E56" s="2"/>
      <c r="F56" s="2"/>
      <c r="G56" s="2"/>
      <c r="H56" s="2"/>
      <c r="I56" s="2"/>
    </row>
    <row r="57" spans="1:9" ht="14.25" customHeight="1">
      <c r="A57" s="2"/>
      <c r="B57" s="2"/>
      <c r="C57" s="2"/>
      <c r="D57" s="2"/>
      <c r="E57" s="2"/>
      <c r="F57" s="2"/>
      <c r="G57" s="2"/>
      <c r="H57" s="2"/>
      <c r="I57" s="2"/>
    </row>
    <row r="58" spans="1:9" ht="14.25" customHeight="1">
      <c r="A58" s="2"/>
      <c r="B58" s="2"/>
      <c r="C58" s="2"/>
      <c r="D58" s="2"/>
      <c r="E58" s="2"/>
      <c r="F58" s="2"/>
      <c r="G58" s="2"/>
      <c r="H58" s="2"/>
      <c r="I58" s="2"/>
    </row>
    <row r="59" spans="1:9" ht="14.25" customHeight="1">
      <c r="A59" s="2"/>
      <c r="B59" s="2"/>
      <c r="C59" s="2"/>
      <c r="D59" s="2"/>
      <c r="E59" s="2"/>
      <c r="F59" s="2"/>
      <c r="G59" s="2"/>
      <c r="H59" s="2"/>
      <c r="I59" s="2"/>
    </row>
    <row r="60" spans="1:9" ht="14.25" customHeight="1">
      <c r="A60" s="2"/>
      <c r="B60" s="2"/>
      <c r="C60" s="2"/>
      <c r="D60" s="2"/>
      <c r="E60" s="2"/>
      <c r="F60" s="2"/>
      <c r="G60" s="2"/>
      <c r="H60" s="2"/>
      <c r="I60" s="2"/>
    </row>
    <row r="61" spans="1:9" ht="14.25" customHeight="1">
      <c r="A61" s="2"/>
      <c r="B61" s="2"/>
      <c r="C61" s="2"/>
      <c r="D61" s="2"/>
      <c r="E61" s="2"/>
      <c r="F61" s="2"/>
      <c r="G61" s="2"/>
      <c r="H61" s="2"/>
      <c r="I61" s="2"/>
    </row>
    <row r="62" spans="1:9" ht="14.25" customHeight="1">
      <c r="A62" s="2"/>
      <c r="B62" s="2"/>
      <c r="C62" s="2"/>
      <c r="D62" s="2"/>
      <c r="E62" s="2"/>
      <c r="F62" s="2"/>
      <c r="G62" s="2"/>
      <c r="H62" s="2"/>
      <c r="I62" s="2"/>
    </row>
    <row r="63" spans="1:9" ht="14.25" customHeight="1">
      <c r="A63" s="2"/>
      <c r="B63" s="2"/>
      <c r="C63" s="2"/>
      <c r="D63" s="2"/>
      <c r="E63" s="2"/>
      <c r="F63" s="2"/>
      <c r="G63" s="2"/>
      <c r="H63" s="2"/>
      <c r="I63" s="2"/>
    </row>
    <row r="64" spans="1:9" ht="14.25" customHeight="1">
      <c r="A64" s="2"/>
      <c r="B64" s="2"/>
      <c r="C64" s="2"/>
      <c r="D64" s="2"/>
      <c r="E64" s="2"/>
      <c r="F64" s="2"/>
      <c r="G64" s="2"/>
      <c r="H64" s="2"/>
      <c r="I64" s="2"/>
    </row>
    <row r="65" spans="1:9" ht="14.25" customHeight="1">
      <c r="A65" s="2"/>
      <c r="B65" s="2"/>
      <c r="C65" s="2"/>
      <c r="D65" s="2"/>
      <c r="E65" s="2"/>
      <c r="F65" s="2"/>
      <c r="G65" s="2"/>
      <c r="H65" s="2"/>
      <c r="I65" s="2"/>
    </row>
    <row r="66" spans="1:9" ht="14.25" customHeight="1">
      <c r="A66" s="2"/>
      <c r="B66" s="2"/>
      <c r="C66" s="2"/>
      <c r="D66" s="2"/>
      <c r="E66" s="2"/>
      <c r="F66" s="2"/>
      <c r="G66" s="2"/>
      <c r="H66" s="2"/>
      <c r="I66" s="2"/>
    </row>
    <row r="67" spans="1:9" ht="14.25" customHeight="1">
      <c r="A67" s="2"/>
      <c r="B67" s="2"/>
      <c r="C67" s="2"/>
      <c r="D67" s="2"/>
      <c r="E67" s="2"/>
      <c r="F67" s="2"/>
      <c r="G67" s="2"/>
      <c r="H67" s="2"/>
      <c r="I67" s="2"/>
    </row>
    <row r="68" spans="1:9" ht="14.25" customHeight="1">
      <c r="A68" s="2"/>
      <c r="B68" s="2"/>
      <c r="C68" s="2"/>
      <c r="D68" s="2"/>
      <c r="E68" s="2"/>
      <c r="F68" s="2"/>
      <c r="G68" s="2"/>
      <c r="H68" s="2"/>
      <c r="I68" s="2"/>
    </row>
    <row r="69" spans="1:9" ht="14.25" customHeight="1">
      <c r="A69" s="2"/>
      <c r="B69" s="2"/>
      <c r="C69" s="2"/>
      <c r="D69" s="2"/>
      <c r="E69" s="2"/>
      <c r="F69" s="2"/>
      <c r="G69" s="2"/>
      <c r="H69" s="2"/>
      <c r="I69" s="2"/>
    </row>
    <row r="70" spans="1:9" ht="14.25" customHeight="1">
      <c r="A70" s="2"/>
      <c r="B70" s="2"/>
      <c r="C70" s="2"/>
      <c r="D70" s="2"/>
      <c r="E70" s="2"/>
      <c r="F70" s="2"/>
      <c r="G70" s="2"/>
      <c r="H70" s="2"/>
      <c r="I70" s="2"/>
    </row>
    <row r="71" spans="1:9" ht="14.25" customHeight="1">
      <c r="A71" s="2"/>
      <c r="B71" s="2"/>
      <c r="C71" s="2"/>
      <c r="D71" s="2"/>
      <c r="E71" s="2"/>
      <c r="F71" s="2"/>
      <c r="G71" s="2"/>
      <c r="H71" s="2"/>
      <c r="I71" s="2"/>
    </row>
    <row r="72" spans="1:9" ht="14.25" customHeight="1">
      <c r="A72" s="2"/>
      <c r="B72" s="2"/>
      <c r="C72" s="2"/>
      <c r="D72" s="2"/>
      <c r="E72" s="2"/>
      <c r="F72" s="2"/>
      <c r="G72" s="2"/>
      <c r="H72" s="2"/>
      <c r="I72" s="2"/>
    </row>
    <row r="73" spans="1:9" ht="14.25" customHeight="1">
      <c r="A73" s="2"/>
      <c r="B73" s="2"/>
      <c r="C73" s="2"/>
      <c r="D73" s="2"/>
      <c r="E73" s="2"/>
      <c r="F73" s="2"/>
      <c r="G73" s="2"/>
      <c r="H73" s="2"/>
      <c r="I73" s="2"/>
    </row>
    <row r="74" spans="1:9" ht="14.25" customHeight="1">
      <c r="A74" s="2"/>
      <c r="B74" s="2"/>
      <c r="C74" s="2"/>
      <c r="D74" s="2"/>
      <c r="E74" s="2"/>
      <c r="F74" s="2"/>
      <c r="G74" s="2"/>
      <c r="H74" s="2"/>
      <c r="I74" s="2"/>
    </row>
    <row r="75" spans="1:9" ht="14.25" customHeight="1">
      <c r="A75" s="2"/>
      <c r="B75" s="2"/>
      <c r="C75" s="2"/>
      <c r="D75" s="2"/>
      <c r="E75" s="2"/>
      <c r="F75" s="2"/>
      <c r="G75" s="2"/>
      <c r="H75" s="2"/>
      <c r="I75" s="2"/>
    </row>
    <row r="76" spans="1:9" ht="14.25" customHeight="1">
      <c r="A76" s="2"/>
      <c r="B76" s="2"/>
      <c r="C76" s="2"/>
      <c r="D76" s="2"/>
      <c r="E76" s="2"/>
      <c r="F76" s="2"/>
      <c r="G76" s="2"/>
      <c r="H76" s="2"/>
      <c r="I76" s="2"/>
    </row>
    <row r="77" spans="1:9" ht="14.25" customHeight="1">
      <c r="A77" s="2"/>
      <c r="B77" s="2"/>
      <c r="C77" s="2"/>
      <c r="D77" s="2"/>
      <c r="E77" s="2"/>
      <c r="F77" s="2"/>
      <c r="G77" s="2"/>
      <c r="H77" s="2"/>
      <c r="I77" s="2"/>
    </row>
    <row r="78" spans="1:9" ht="14.25" customHeight="1">
      <c r="A78" s="2"/>
      <c r="B78" s="2"/>
      <c r="C78" s="2"/>
      <c r="D78" s="2"/>
      <c r="E78" s="2"/>
      <c r="F78" s="2"/>
      <c r="G78" s="2"/>
      <c r="H78" s="2"/>
      <c r="I78" s="2"/>
    </row>
    <row r="79" spans="1:9" ht="14.25" customHeight="1">
      <c r="A79" s="2"/>
      <c r="B79" s="2"/>
      <c r="C79" s="2"/>
      <c r="D79" s="2"/>
      <c r="E79" s="2"/>
      <c r="F79" s="2"/>
      <c r="G79" s="2"/>
      <c r="H79" s="2"/>
      <c r="I79" s="2"/>
    </row>
    <row r="80" spans="1:9" ht="14.25" customHeight="1">
      <c r="A80" s="2"/>
      <c r="B80" s="2"/>
      <c r="C80" s="2"/>
      <c r="D80" s="2"/>
      <c r="E80" s="2"/>
      <c r="F80" s="2"/>
      <c r="G80" s="2"/>
      <c r="H80" s="2"/>
      <c r="I80" s="2"/>
    </row>
    <row r="81" spans="1:9" ht="14.25" customHeight="1">
      <c r="A81" s="2"/>
      <c r="B81" s="2"/>
      <c r="C81" s="2"/>
      <c r="D81" s="2"/>
      <c r="E81" s="2"/>
      <c r="F81" s="2"/>
      <c r="G81" s="2"/>
      <c r="H81" s="2"/>
      <c r="I81" s="2"/>
    </row>
    <row r="82" spans="1:9" ht="14.25" customHeight="1">
      <c r="A82" s="2"/>
      <c r="B82" s="2"/>
      <c r="C82" s="2"/>
      <c r="D82" s="2"/>
      <c r="E82" s="2"/>
      <c r="F82" s="2"/>
      <c r="G82" s="2"/>
      <c r="H82" s="2"/>
      <c r="I82" s="2"/>
    </row>
    <row r="83" spans="1:9" ht="14.25" customHeight="1">
      <c r="A83" s="2"/>
      <c r="B83" s="2"/>
      <c r="C83" s="2"/>
      <c r="D83" s="2"/>
      <c r="E83" s="2"/>
      <c r="F83" s="2"/>
      <c r="G83" s="2"/>
      <c r="H83" s="2"/>
      <c r="I83" s="2"/>
    </row>
    <row r="84" spans="1:9" ht="14.25" customHeight="1">
      <c r="A84" s="2"/>
      <c r="B84" s="2"/>
      <c r="C84" s="2"/>
      <c r="D84" s="2"/>
      <c r="E84" s="2"/>
      <c r="F84" s="2"/>
      <c r="G84" s="2"/>
      <c r="H84" s="2"/>
      <c r="I84" s="2"/>
    </row>
    <row r="85" spans="1:9" ht="14.25" customHeight="1">
      <c r="A85" s="2"/>
      <c r="B85" s="2"/>
      <c r="C85" s="2"/>
      <c r="D85" s="2"/>
      <c r="E85" s="2"/>
      <c r="F85" s="2"/>
      <c r="G85" s="2"/>
      <c r="H85" s="2"/>
      <c r="I85" s="2"/>
    </row>
    <row r="86" spans="1:9" ht="14.25" customHeight="1">
      <c r="A86" s="2"/>
      <c r="B86" s="2"/>
      <c r="C86" s="2"/>
      <c r="D86" s="2"/>
      <c r="E86" s="2"/>
      <c r="F86" s="2"/>
      <c r="G86" s="2"/>
      <c r="H86" s="2"/>
      <c r="I86" s="2"/>
    </row>
    <row r="87" spans="1:9" ht="14.25" customHeight="1">
      <c r="A87" s="2"/>
      <c r="B87" s="2"/>
      <c r="C87" s="2"/>
      <c r="D87" s="2"/>
      <c r="E87" s="2"/>
      <c r="F87" s="2"/>
      <c r="G87" s="2"/>
      <c r="H87" s="2"/>
      <c r="I87" s="2"/>
    </row>
    <row r="88" spans="1:9" ht="14.25" customHeight="1">
      <c r="A88" s="2"/>
      <c r="B88" s="2"/>
      <c r="C88" s="2"/>
      <c r="D88" s="2"/>
      <c r="E88" s="2"/>
      <c r="F88" s="2"/>
      <c r="G88" s="2"/>
      <c r="H88" s="2"/>
      <c r="I88" s="2"/>
    </row>
    <row r="89" spans="1:9" ht="14.25" customHeight="1">
      <c r="A89" s="2"/>
      <c r="B89" s="2"/>
      <c r="C89" s="2"/>
      <c r="D89" s="2"/>
      <c r="E89" s="2"/>
      <c r="F89" s="2"/>
      <c r="G89" s="2"/>
      <c r="H89" s="2"/>
      <c r="I89" s="2"/>
    </row>
    <row r="90" spans="1:9" ht="14.25" customHeight="1">
      <c r="A90" s="2"/>
      <c r="B90" s="2"/>
      <c r="C90" s="2"/>
      <c r="D90" s="2"/>
      <c r="E90" s="2"/>
      <c r="F90" s="2"/>
      <c r="G90" s="2"/>
      <c r="H90" s="2"/>
      <c r="I90" s="2"/>
    </row>
    <row r="91" spans="1:9" ht="14.25" customHeight="1">
      <c r="A91" s="2"/>
      <c r="B91" s="2"/>
      <c r="C91" s="2"/>
      <c r="D91" s="2"/>
      <c r="E91" s="2"/>
      <c r="F91" s="2"/>
      <c r="G91" s="2"/>
      <c r="H91" s="2"/>
      <c r="I91" s="2"/>
    </row>
    <row r="92" spans="1:9" ht="14.25" customHeight="1">
      <c r="A92" s="2"/>
      <c r="B92" s="2"/>
      <c r="C92" s="2"/>
      <c r="D92" s="2"/>
      <c r="E92" s="2"/>
      <c r="F92" s="2"/>
      <c r="G92" s="2"/>
      <c r="H92" s="2"/>
      <c r="I92" s="2"/>
    </row>
    <row r="93" spans="1:9" ht="14.25" customHeight="1">
      <c r="A93" s="2"/>
      <c r="B93" s="2"/>
      <c r="C93" s="2"/>
      <c r="D93" s="2"/>
      <c r="E93" s="2"/>
      <c r="F93" s="2"/>
      <c r="G93" s="2"/>
      <c r="H93" s="2"/>
      <c r="I93" s="2"/>
    </row>
    <row r="94" spans="1:9" ht="14.25" customHeight="1">
      <c r="A94" s="2"/>
      <c r="B94" s="2"/>
      <c r="C94" s="2"/>
      <c r="D94" s="2"/>
      <c r="E94" s="2"/>
      <c r="F94" s="2"/>
      <c r="G94" s="2"/>
      <c r="H94" s="2"/>
      <c r="I94" s="2"/>
    </row>
    <row r="95" spans="1:9" ht="14.25" customHeight="1">
      <c r="A95" s="2"/>
      <c r="B95" s="2"/>
      <c r="C95" s="2"/>
      <c r="D95" s="2"/>
      <c r="E95" s="2"/>
      <c r="F95" s="2"/>
      <c r="G95" s="2"/>
      <c r="H95" s="2"/>
      <c r="I95" s="2"/>
    </row>
    <row r="96" spans="1:9" ht="14.25" customHeight="1">
      <c r="A96" s="2"/>
      <c r="B96" s="2"/>
      <c r="C96" s="2"/>
      <c r="D96" s="2"/>
      <c r="E96" s="2"/>
      <c r="F96" s="2"/>
      <c r="G96" s="2"/>
      <c r="H96" s="2"/>
      <c r="I96" s="2"/>
    </row>
    <row r="97" spans="1:9" ht="14.25" customHeight="1">
      <c r="A97" s="2"/>
      <c r="B97" s="2"/>
      <c r="C97" s="2"/>
      <c r="D97" s="2"/>
      <c r="E97" s="2"/>
      <c r="F97" s="2"/>
      <c r="G97" s="2"/>
      <c r="H97" s="2"/>
      <c r="I97" s="2"/>
    </row>
    <row r="98" spans="1:9" ht="14.25" customHeight="1">
      <c r="A98" s="2"/>
      <c r="B98" s="2"/>
      <c r="C98" s="2"/>
      <c r="D98" s="2"/>
      <c r="E98" s="2"/>
      <c r="F98" s="2"/>
      <c r="G98" s="2"/>
      <c r="H98" s="2"/>
      <c r="I98" s="2"/>
    </row>
    <row r="99" spans="1:9" ht="14.25" customHeight="1">
      <c r="A99" s="2"/>
      <c r="B99" s="2"/>
      <c r="C99" s="2"/>
      <c r="D99" s="2"/>
      <c r="E99" s="2"/>
      <c r="F99" s="2"/>
      <c r="G99" s="2"/>
      <c r="H99" s="2"/>
      <c r="I99" s="2"/>
    </row>
    <row r="100" spans="1:9" ht="14.25" customHeight="1">
      <c r="A100" s="2"/>
      <c r="B100" s="2"/>
      <c r="C100" s="2"/>
      <c r="D100" s="2"/>
      <c r="E100" s="2"/>
      <c r="F100" s="2"/>
      <c r="G100" s="2"/>
      <c r="H100" s="2"/>
      <c r="I100" s="2"/>
    </row>
    <row r="101" spans="1:9" ht="14.25" customHeight="1">
      <c r="A101" s="2"/>
      <c r="B101" s="2"/>
      <c r="C101" s="2"/>
      <c r="D101" s="2"/>
      <c r="E101" s="2"/>
      <c r="F101" s="2"/>
      <c r="G101" s="2"/>
      <c r="H101" s="2"/>
      <c r="I101" s="2"/>
    </row>
    <row r="102" spans="1:9" ht="14.25" customHeight="1">
      <c r="A102" s="2"/>
      <c r="B102" s="2"/>
      <c r="C102" s="2"/>
      <c r="D102" s="2"/>
      <c r="E102" s="2"/>
      <c r="F102" s="2"/>
      <c r="G102" s="2"/>
      <c r="H102" s="2"/>
      <c r="I102" s="2"/>
    </row>
    <row r="103" spans="1:9" ht="14.25" customHeight="1">
      <c r="A103" s="2"/>
      <c r="B103" s="2"/>
      <c r="C103" s="2"/>
      <c r="D103" s="2"/>
      <c r="E103" s="2"/>
      <c r="F103" s="2"/>
      <c r="G103" s="2"/>
      <c r="H103" s="2"/>
      <c r="I103" s="2"/>
    </row>
  </sheetData>
  <mergeCells count="14">
    <mergeCell ref="B51:D51"/>
    <mergeCell ref="F51:H51"/>
    <mergeCell ref="B9:D10"/>
    <mergeCell ref="F9:H10"/>
    <mergeCell ref="D13:E13"/>
    <mergeCell ref="B47:D49"/>
    <mergeCell ref="F48:H49"/>
    <mergeCell ref="B50:C50"/>
    <mergeCell ref="B2:D2"/>
    <mergeCell ref="B3:D3"/>
    <mergeCell ref="F3:H5"/>
    <mergeCell ref="B4:D4"/>
    <mergeCell ref="B5:D5"/>
    <mergeCell ref="B7:D8"/>
  </mergeCells>
  <conditionalFormatting sqref="F48:H49">
    <cfRule type="cellIs" dxfId="9" priority="3" operator="equal">
      <formula>0</formula>
    </cfRule>
  </conditionalFormatting>
  <conditionalFormatting sqref="D14:H44">
    <cfRule type="cellIs" dxfId="8" priority="1" operator="equal">
      <formula>""</formula>
    </cfRule>
    <cfRule type="cellIs" dxfId="7" priority="2" operator="notEqual">
      <formula>""</formula>
    </cfRule>
  </conditionalFormatting>
  <pageMargins left="0.7" right="0.7" top="0.78740157499999996" bottom="0.78740157499999996" header="0" footer="0"/>
  <pageSetup paperSize="9" scale="98" fitToWidth="0" fitToHeight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2BA71D-01F2-4E43-A851-7D27FE5ADDFE}">
  <dimension ref="A1:Q103"/>
  <sheetViews>
    <sheetView topLeftCell="A4" workbookViewId="0">
      <selection activeCell="B11" sqref="B11"/>
    </sheetView>
  </sheetViews>
  <sheetFormatPr baseColWidth="10" defaultColWidth="14.44140625" defaultRowHeight="15" customHeight="1"/>
  <cols>
    <col min="1" max="1" width="5.44140625" customWidth="1"/>
    <col min="2" max="2" width="3.44140625" customWidth="1"/>
    <col min="3" max="3" width="10.109375" bestFit="1" customWidth="1"/>
    <col min="4" max="5" width="10.5546875" customWidth="1"/>
    <col min="6" max="6" width="11.44140625" customWidth="1"/>
    <col min="7" max="7" width="10.88671875" bestFit="1" customWidth="1"/>
    <col min="8" max="8" width="9.88671875" customWidth="1"/>
    <col min="9" max="9" width="6.109375" customWidth="1"/>
    <col min="10" max="11" width="10.6640625" customWidth="1"/>
  </cols>
  <sheetData>
    <row r="1" spans="1:17" ht="14.25" customHeight="1">
      <c r="A1" s="1"/>
      <c r="B1" s="1"/>
      <c r="C1" s="1"/>
      <c r="D1" s="1"/>
      <c r="E1" s="1"/>
      <c r="F1" s="1"/>
      <c r="G1" s="1"/>
      <c r="H1" s="1"/>
      <c r="I1" s="2"/>
    </row>
    <row r="2" spans="1:17" ht="14.25" customHeight="1">
      <c r="A2" s="1"/>
      <c r="B2" s="68" t="s">
        <v>0</v>
      </c>
      <c r="C2" s="69"/>
      <c r="D2" s="70"/>
      <c r="E2" s="1"/>
      <c r="F2" s="1"/>
      <c r="G2" s="1"/>
      <c r="H2" s="1"/>
      <c r="I2" s="2"/>
    </row>
    <row r="3" spans="1:17" ht="14.25" customHeight="1">
      <c r="A3" s="1"/>
      <c r="B3" s="30" t="s">
        <v>19</v>
      </c>
      <c r="C3" s="31"/>
      <c r="D3" s="32"/>
      <c r="E3" s="1"/>
      <c r="F3" s="33" t="e" vm="3">
        <f>Eingabedaten!B14</f>
        <v>#VALUE!</v>
      </c>
      <c r="G3" s="34"/>
      <c r="H3" s="35"/>
      <c r="I3" s="2"/>
    </row>
    <row r="4" spans="1:17" ht="14.25" customHeight="1">
      <c r="A4" s="1"/>
      <c r="B4" s="42" t="s">
        <v>20</v>
      </c>
      <c r="C4" s="28"/>
      <c r="D4" s="43"/>
      <c r="E4" s="1"/>
      <c r="F4" s="36"/>
      <c r="G4" s="37"/>
      <c r="H4" s="38"/>
      <c r="I4" s="2"/>
    </row>
    <row r="5" spans="1:17" ht="14.25" customHeight="1">
      <c r="A5" s="1"/>
      <c r="B5" s="44" t="s">
        <v>21</v>
      </c>
      <c r="C5" s="45"/>
      <c r="D5" s="46"/>
      <c r="E5" s="1"/>
      <c r="F5" s="39"/>
      <c r="G5" s="40"/>
      <c r="H5" s="41"/>
      <c r="I5" s="2"/>
    </row>
    <row r="6" spans="1:17" ht="14.25" customHeight="1">
      <c r="A6" s="1"/>
      <c r="B6" s="1"/>
      <c r="C6" s="1"/>
      <c r="D6" s="1"/>
      <c r="E6" s="1"/>
      <c r="F6" s="1"/>
      <c r="G6" s="1"/>
      <c r="H6" s="1"/>
      <c r="I6" s="2"/>
    </row>
    <row r="7" spans="1:17" ht="14.25" customHeight="1">
      <c r="A7" s="1"/>
      <c r="B7" s="47" t="s">
        <v>1</v>
      </c>
      <c r="C7" s="34"/>
      <c r="D7" s="35"/>
      <c r="E7" s="1"/>
      <c r="G7" s="19"/>
      <c r="H7" s="19"/>
      <c r="I7" s="2"/>
    </row>
    <row r="8" spans="1:17" ht="14.25" customHeight="1">
      <c r="A8" s="1"/>
      <c r="B8" s="41"/>
      <c r="C8" s="41"/>
      <c r="D8" s="41"/>
      <c r="E8" s="1"/>
      <c r="F8" s="19" t="s">
        <v>2</v>
      </c>
      <c r="G8" s="19"/>
      <c r="H8" s="19"/>
      <c r="I8" s="2"/>
    </row>
    <row r="9" spans="1:17" ht="14.25" customHeight="1" thickBot="1">
      <c r="A9" s="1"/>
      <c r="B9" s="56">
        <v>45962</v>
      </c>
      <c r="C9" s="57"/>
      <c r="D9" s="58"/>
      <c r="E9" s="1"/>
      <c r="F9" s="62" t="str">
        <f>Eingabedaten!C4 &amp; ", " &amp; Eingabedaten!C3</f>
        <v>Sternicki, Michael</v>
      </c>
      <c r="G9" s="63"/>
      <c r="H9" s="64"/>
      <c r="I9" s="2"/>
    </row>
    <row r="10" spans="1:17" ht="14.25" customHeight="1">
      <c r="A10" s="1"/>
      <c r="B10" s="59"/>
      <c r="C10" s="60"/>
      <c r="D10" s="61"/>
      <c r="F10" s="65"/>
      <c r="G10" s="66"/>
      <c r="H10" s="67"/>
    </row>
    <row r="11" spans="1:17" ht="14.25" customHeight="1">
      <c r="A11" s="1"/>
      <c r="B11" s="17"/>
      <c r="C11" s="17"/>
      <c r="D11" s="17"/>
      <c r="F11" s="17"/>
      <c r="G11" s="17"/>
      <c r="H11" s="17"/>
    </row>
    <row r="12" spans="1:17" ht="14.25" customHeight="1">
      <c r="A12" s="1"/>
      <c r="B12" s="77"/>
      <c r="C12" s="78"/>
      <c r="D12" s="1"/>
      <c r="E12" s="1"/>
      <c r="F12" s="1"/>
      <c r="G12" s="1"/>
      <c r="H12" s="1"/>
    </row>
    <row r="13" spans="1:17" ht="14.25" customHeight="1">
      <c r="A13" s="1"/>
      <c r="B13" s="3" t="s">
        <v>4</v>
      </c>
      <c r="C13" s="3" t="s">
        <v>5</v>
      </c>
      <c r="D13" s="23" t="s">
        <v>6</v>
      </c>
      <c r="E13" s="24"/>
      <c r="F13" s="3" t="s">
        <v>7</v>
      </c>
      <c r="G13" s="3" t="s">
        <v>8</v>
      </c>
      <c r="H13" s="3" t="s">
        <v>9</v>
      </c>
      <c r="K13" s="18"/>
      <c r="L13" s="18"/>
      <c r="M13" s="18"/>
      <c r="N13" s="18"/>
      <c r="O13" s="18"/>
      <c r="P13" s="18"/>
      <c r="Q13" s="18"/>
    </row>
    <row r="14" spans="1:17" ht="14.25" customHeight="1">
      <c r="A14" s="1"/>
      <c r="B14" s="20" t="str">
        <f>TEXT(C14,"TTT")</f>
        <v>Sa</v>
      </c>
      <c r="C14" s="5">
        <f>B9</f>
        <v>45962</v>
      </c>
      <c r="D14" s="6" t="str">
        <f>IF(OR(B14="Sa",B14="So"), "", TIME(8,30,0))</f>
        <v/>
      </c>
      <c r="E14" s="6" t="str">
        <f>IF(OR(B14="Sa",B14="So"), "", TIME(17,0,0))</f>
        <v/>
      </c>
      <c r="F14" s="4" t="str">
        <f>IF(OR(B14="Sa",B14="So"), "", 30)</f>
        <v/>
      </c>
      <c r="G14" s="4">
        <f>IF(B14="Sa",SUM(G9:G13),IF(B14="So","",(E14-D14)*24-F14/60))</f>
        <v>0</v>
      </c>
      <c r="H14" s="4" t="s">
        <v>16</v>
      </c>
      <c r="K14" s="18"/>
      <c r="L14" s="18"/>
      <c r="M14" s="18"/>
      <c r="N14" s="18"/>
      <c r="O14" s="18"/>
      <c r="P14" s="18"/>
      <c r="Q14" s="18"/>
    </row>
    <row r="15" spans="1:17" ht="14.25" customHeight="1">
      <c r="A15" s="1"/>
      <c r="B15" s="20" t="str">
        <f t="shared" ref="B15:B45" si="0">TEXT(C15,"TTT")</f>
        <v>So</v>
      </c>
      <c r="C15" s="5">
        <f>C14+1</f>
        <v>45963</v>
      </c>
      <c r="D15" s="6" t="str">
        <f t="shared" ref="D15:D45" si="1">IF(OR(B15="Sa",B15="So"), "", TIME(8,30,0))</f>
        <v/>
      </c>
      <c r="E15" s="6" t="str">
        <f t="shared" ref="E15:E45" si="2">IF(OR(B15="Sa",B15="So"), "", TIME(17,0,0))</f>
        <v/>
      </c>
      <c r="F15" s="4" t="str">
        <f t="shared" ref="F15:F45" si="3">IF(OR(B15="Sa",B15="So"), "", 30)</f>
        <v/>
      </c>
      <c r="G15" s="4" t="str">
        <f t="shared" ref="G15:G45" si="4">IF(B15="Sa",SUM(G10:G14),IF(B15="So","",(E15-D15)*24-F15/60))</f>
        <v/>
      </c>
      <c r="H15" s="4" t="s">
        <v>16</v>
      </c>
      <c r="K15" s="18"/>
      <c r="L15" s="18"/>
      <c r="M15" s="18"/>
      <c r="N15" s="18"/>
      <c r="O15" s="18"/>
      <c r="P15" s="18"/>
      <c r="Q15" s="18"/>
    </row>
    <row r="16" spans="1:17" ht="14.25" customHeight="1">
      <c r="A16" s="1"/>
      <c r="B16" s="20" t="str">
        <f t="shared" si="0"/>
        <v>Mo</v>
      </c>
      <c r="C16" s="5">
        <f t="shared" ref="C16:C44" si="5">C15+1</f>
        <v>45964</v>
      </c>
      <c r="D16" s="6">
        <f t="shared" si="1"/>
        <v>0.35416666666666669</v>
      </c>
      <c r="E16" s="6">
        <f t="shared" si="2"/>
        <v>0.70833333333333337</v>
      </c>
      <c r="F16" s="4">
        <f t="shared" si="3"/>
        <v>30</v>
      </c>
      <c r="G16" s="4">
        <f t="shared" si="4"/>
        <v>8</v>
      </c>
      <c r="H16" s="4" t="s">
        <v>16</v>
      </c>
      <c r="K16" s="18"/>
      <c r="L16" s="18"/>
      <c r="M16" s="18"/>
      <c r="N16" s="18"/>
      <c r="O16" s="18"/>
      <c r="P16" s="18"/>
      <c r="Q16" s="18"/>
    </row>
    <row r="17" spans="1:17" ht="14.25" customHeight="1">
      <c r="A17" s="1"/>
      <c r="B17" s="20" t="str">
        <f t="shared" si="0"/>
        <v>Di</v>
      </c>
      <c r="C17" s="5">
        <f t="shared" si="5"/>
        <v>45965</v>
      </c>
      <c r="D17" s="6">
        <f>IF(OR(B17="Sa",B17="So"), "", TIME(8,30,0))</f>
        <v>0.35416666666666669</v>
      </c>
      <c r="E17" s="6">
        <f t="shared" si="2"/>
        <v>0.70833333333333337</v>
      </c>
      <c r="F17" s="4">
        <f t="shared" si="3"/>
        <v>30</v>
      </c>
      <c r="G17" s="4">
        <f t="shared" si="4"/>
        <v>8</v>
      </c>
      <c r="H17" s="15" t="s">
        <v>16</v>
      </c>
      <c r="K17" s="18"/>
      <c r="L17" s="18"/>
      <c r="M17" s="18"/>
      <c r="N17" s="18"/>
      <c r="O17" s="18"/>
      <c r="P17" s="18"/>
      <c r="Q17" s="18"/>
    </row>
    <row r="18" spans="1:17" ht="14.25" customHeight="1">
      <c r="A18" s="1"/>
      <c r="B18" s="20" t="str">
        <f t="shared" si="0"/>
        <v>Mi</v>
      </c>
      <c r="C18" s="5">
        <f t="shared" si="5"/>
        <v>45966</v>
      </c>
      <c r="D18" s="6">
        <f t="shared" si="1"/>
        <v>0.35416666666666669</v>
      </c>
      <c r="E18" s="6">
        <f t="shared" si="2"/>
        <v>0.70833333333333337</v>
      </c>
      <c r="F18" s="4">
        <f t="shared" si="3"/>
        <v>30</v>
      </c>
      <c r="G18" s="4">
        <f t="shared" si="4"/>
        <v>8</v>
      </c>
      <c r="H18" s="15" t="s">
        <v>16</v>
      </c>
      <c r="K18" s="18"/>
      <c r="L18" s="18"/>
      <c r="M18" s="18"/>
      <c r="N18" s="18"/>
      <c r="O18" s="18"/>
      <c r="P18" s="18"/>
      <c r="Q18" s="18"/>
    </row>
    <row r="19" spans="1:17" ht="14.25" customHeight="1">
      <c r="A19" s="1"/>
      <c r="B19" s="20" t="str">
        <f t="shared" si="0"/>
        <v>Do</v>
      </c>
      <c r="C19" s="5">
        <f t="shared" si="5"/>
        <v>45967</v>
      </c>
      <c r="D19" s="6">
        <f t="shared" si="1"/>
        <v>0.35416666666666669</v>
      </c>
      <c r="E19" s="6">
        <f t="shared" si="2"/>
        <v>0.70833333333333337</v>
      </c>
      <c r="F19" s="4">
        <f t="shared" si="3"/>
        <v>30</v>
      </c>
      <c r="G19" s="4">
        <f t="shared" si="4"/>
        <v>8</v>
      </c>
      <c r="H19" s="15" t="s">
        <v>16</v>
      </c>
      <c r="K19" s="18"/>
      <c r="L19" s="18"/>
      <c r="M19" s="18"/>
      <c r="N19" s="18"/>
      <c r="O19" s="18"/>
      <c r="P19" s="18"/>
      <c r="Q19" s="18"/>
    </row>
    <row r="20" spans="1:17" ht="14.25" customHeight="1">
      <c r="A20" s="1"/>
      <c r="B20" s="20" t="str">
        <f t="shared" si="0"/>
        <v>Fr</v>
      </c>
      <c r="C20" s="5">
        <f t="shared" si="5"/>
        <v>45968</v>
      </c>
      <c r="D20" s="6">
        <f t="shared" si="1"/>
        <v>0.35416666666666669</v>
      </c>
      <c r="E20" s="6">
        <f t="shared" si="2"/>
        <v>0.70833333333333337</v>
      </c>
      <c r="F20" s="4">
        <f t="shared" si="3"/>
        <v>30</v>
      </c>
      <c r="G20" s="4">
        <f t="shared" si="4"/>
        <v>8</v>
      </c>
      <c r="H20" s="15" t="s">
        <v>16</v>
      </c>
      <c r="K20" s="18"/>
      <c r="L20" s="18"/>
      <c r="M20" s="18"/>
      <c r="N20" s="18"/>
      <c r="O20" s="18"/>
      <c r="P20" s="18"/>
      <c r="Q20" s="18"/>
    </row>
    <row r="21" spans="1:17" ht="14.25" customHeight="1">
      <c r="A21" s="14"/>
      <c r="B21" s="20" t="str">
        <f t="shared" si="0"/>
        <v>Sa</v>
      </c>
      <c r="C21" s="5">
        <f t="shared" si="5"/>
        <v>45969</v>
      </c>
      <c r="D21" s="6" t="str">
        <f t="shared" si="1"/>
        <v/>
      </c>
      <c r="E21" s="6" t="str">
        <f t="shared" si="2"/>
        <v/>
      </c>
      <c r="F21" s="4" t="str">
        <f t="shared" si="3"/>
        <v/>
      </c>
      <c r="G21" s="4">
        <f t="shared" si="4"/>
        <v>40</v>
      </c>
      <c r="H21" s="15" t="s">
        <v>16</v>
      </c>
      <c r="K21" s="18"/>
      <c r="L21" s="18"/>
      <c r="M21" s="18"/>
      <c r="N21" s="18"/>
      <c r="O21" s="18"/>
      <c r="P21" s="18"/>
      <c r="Q21" s="18"/>
    </row>
    <row r="22" spans="1:17" ht="14.25" customHeight="1">
      <c r="A22" s="1"/>
      <c r="B22" s="20" t="str">
        <f t="shared" si="0"/>
        <v>So</v>
      </c>
      <c r="C22" s="5">
        <f t="shared" si="5"/>
        <v>45970</v>
      </c>
      <c r="D22" s="6" t="str">
        <f t="shared" si="1"/>
        <v/>
      </c>
      <c r="E22" s="6" t="str">
        <f t="shared" si="2"/>
        <v/>
      </c>
      <c r="F22" s="4" t="str">
        <f t="shared" si="3"/>
        <v/>
      </c>
      <c r="G22" s="4" t="str">
        <f t="shared" si="4"/>
        <v/>
      </c>
      <c r="H22" s="15" t="s">
        <v>16</v>
      </c>
      <c r="K22" s="18"/>
      <c r="L22" s="18"/>
      <c r="M22" s="18"/>
      <c r="N22" s="18"/>
      <c r="O22" s="18"/>
      <c r="P22" s="18"/>
      <c r="Q22" s="18"/>
    </row>
    <row r="23" spans="1:17" ht="14.25" customHeight="1">
      <c r="A23" s="1"/>
      <c r="B23" s="20" t="str">
        <f t="shared" si="0"/>
        <v>Mo</v>
      </c>
      <c r="C23" s="5">
        <f t="shared" si="5"/>
        <v>45971</v>
      </c>
      <c r="D23" s="6">
        <f t="shared" si="1"/>
        <v>0.35416666666666669</v>
      </c>
      <c r="E23" s="6">
        <f t="shared" si="2"/>
        <v>0.70833333333333337</v>
      </c>
      <c r="F23" s="4">
        <f t="shared" si="3"/>
        <v>30</v>
      </c>
      <c r="G23" s="4">
        <f t="shared" si="4"/>
        <v>8</v>
      </c>
      <c r="H23" s="15" t="s">
        <v>16</v>
      </c>
    </row>
    <row r="24" spans="1:17" ht="14.25" customHeight="1">
      <c r="A24" s="1"/>
      <c r="B24" s="20" t="str">
        <f t="shared" si="0"/>
        <v>Di</v>
      </c>
      <c r="C24" s="5">
        <f t="shared" si="5"/>
        <v>45972</v>
      </c>
      <c r="D24" s="6">
        <f t="shared" si="1"/>
        <v>0.35416666666666669</v>
      </c>
      <c r="E24" s="6">
        <f t="shared" si="2"/>
        <v>0.70833333333333337</v>
      </c>
      <c r="F24" s="4">
        <f t="shared" si="3"/>
        <v>30</v>
      </c>
      <c r="G24" s="4">
        <f t="shared" si="4"/>
        <v>8</v>
      </c>
      <c r="H24" s="15" t="s">
        <v>16</v>
      </c>
    </row>
    <row r="25" spans="1:17" ht="14.25" customHeight="1">
      <c r="A25" s="1"/>
      <c r="B25" s="20" t="str">
        <f t="shared" si="0"/>
        <v>Mi</v>
      </c>
      <c r="C25" s="5">
        <f t="shared" si="5"/>
        <v>45973</v>
      </c>
      <c r="D25" s="6">
        <f t="shared" si="1"/>
        <v>0.35416666666666669</v>
      </c>
      <c r="E25" s="6">
        <f t="shared" si="2"/>
        <v>0.70833333333333337</v>
      </c>
      <c r="F25" s="4">
        <f t="shared" si="3"/>
        <v>30</v>
      </c>
      <c r="G25" s="4">
        <f t="shared" si="4"/>
        <v>8</v>
      </c>
      <c r="H25" s="15" t="s">
        <v>16</v>
      </c>
    </row>
    <row r="26" spans="1:17" ht="14.25" customHeight="1">
      <c r="A26" s="1"/>
      <c r="B26" s="20" t="str">
        <f t="shared" si="0"/>
        <v>Do</v>
      </c>
      <c r="C26" s="5">
        <f t="shared" si="5"/>
        <v>45974</v>
      </c>
      <c r="D26" s="6">
        <f t="shared" si="1"/>
        <v>0.35416666666666669</v>
      </c>
      <c r="E26" s="6">
        <f t="shared" si="2"/>
        <v>0.70833333333333337</v>
      </c>
      <c r="F26" s="4">
        <f t="shared" si="3"/>
        <v>30</v>
      </c>
      <c r="G26" s="4">
        <f t="shared" si="4"/>
        <v>8</v>
      </c>
      <c r="H26" s="15" t="s">
        <v>16</v>
      </c>
    </row>
    <row r="27" spans="1:17" ht="14.25" customHeight="1">
      <c r="A27" s="1"/>
      <c r="B27" s="20" t="str">
        <f t="shared" si="0"/>
        <v>Fr</v>
      </c>
      <c r="C27" s="5">
        <f t="shared" si="5"/>
        <v>45975</v>
      </c>
      <c r="D27" s="6">
        <f t="shared" si="1"/>
        <v>0.35416666666666669</v>
      </c>
      <c r="E27" s="6">
        <f t="shared" si="2"/>
        <v>0.70833333333333337</v>
      </c>
      <c r="F27" s="4">
        <f t="shared" si="3"/>
        <v>30</v>
      </c>
      <c r="G27" s="4">
        <f t="shared" si="4"/>
        <v>8</v>
      </c>
      <c r="H27" s="15" t="s">
        <v>16</v>
      </c>
    </row>
    <row r="28" spans="1:17" ht="14.25" customHeight="1">
      <c r="A28" s="1"/>
      <c r="B28" s="20" t="str">
        <f t="shared" si="0"/>
        <v>Sa</v>
      </c>
      <c r="C28" s="5">
        <f t="shared" si="5"/>
        <v>45976</v>
      </c>
      <c r="D28" s="6" t="str">
        <f t="shared" si="1"/>
        <v/>
      </c>
      <c r="E28" s="6" t="str">
        <f t="shared" si="2"/>
        <v/>
      </c>
      <c r="F28" s="4" t="str">
        <f t="shared" si="3"/>
        <v/>
      </c>
      <c r="G28" s="4">
        <f t="shared" si="4"/>
        <v>40</v>
      </c>
      <c r="H28" s="15" t="s">
        <v>16</v>
      </c>
    </row>
    <row r="29" spans="1:17" ht="14.25" customHeight="1">
      <c r="A29" s="1"/>
      <c r="B29" s="20" t="str">
        <f t="shared" si="0"/>
        <v>So</v>
      </c>
      <c r="C29" s="5">
        <f t="shared" si="5"/>
        <v>45977</v>
      </c>
      <c r="D29" s="6" t="str">
        <f t="shared" si="1"/>
        <v/>
      </c>
      <c r="E29" s="6" t="str">
        <f t="shared" si="2"/>
        <v/>
      </c>
      <c r="F29" s="4" t="str">
        <f t="shared" si="3"/>
        <v/>
      </c>
      <c r="G29" s="4" t="str">
        <f t="shared" si="4"/>
        <v/>
      </c>
      <c r="H29" s="15" t="s">
        <v>16</v>
      </c>
    </row>
    <row r="30" spans="1:17" ht="14.25" customHeight="1">
      <c r="A30" s="1"/>
      <c r="B30" s="20" t="str">
        <f t="shared" si="0"/>
        <v>Mo</v>
      </c>
      <c r="C30" s="5">
        <f t="shared" si="5"/>
        <v>45978</v>
      </c>
      <c r="D30" s="6">
        <f t="shared" si="1"/>
        <v>0.35416666666666669</v>
      </c>
      <c r="E30" s="6">
        <f t="shared" si="2"/>
        <v>0.70833333333333337</v>
      </c>
      <c r="F30" s="4">
        <f t="shared" si="3"/>
        <v>30</v>
      </c>
      <c r="G30" s="4">
        <f t="shared" si="4"/>
        <v>8</v>
      </c>
      <c r="H30" s="15" t="s">
        <v>16</v>
      </c>
    </row>
    <row r="31" spans="1:17" ht="14.25" customHeight="1">
      <c r="A31" s="1"/>
      <c r="B31" s="20" t="str">
        <f t="shared" si="0"/>
        <v>Di</v>
      </c>
      <c r="C31" s="5">
        <f t="shared" si="5"/>
        <v>45979</v>
      </c>
      <c r="D31" s="6">
        <f t="shared" si="1"/>
        <v>0.35416666666666669</v>
      </c>
      <c r="E31" s="6">
        <f t="shared" si="2"/>
        <v>0.70833333333333337</v>
      </c>
      <c r="F31" s="4">
        <f t="shared" si="3"/>
        <v>30</v>
      </c>
      <c r="G31" s="4">
        <f t="shared" si="4"/>
        <v>8</v>
      </c>
      <c r="H31" s="15" t="s">
        <v>16</v>
      </c>
    </row>
    <row r="32" spans="1:17" ht="14.25" customHeight="1">
      <c r="A32" s="1"/>
      <c r="B32" s="20" t="str">
        <f t="shared" si="0"/>
        <v>Mi</v>
      </c>
      <c r="C32" s="5">
        <f t="shared" si="5"/>
        <v>45980</v>
      </c>
      <c r="D32" s="6">
        <f t="shared" si="1"/>
        <v>0.35416666666666669</v>
      </c>
      <c r="E32" s="6">
        <f t="shared" si="2"/>
        <v>0.70833333333333337</v>
      </c>
      <c r="F32" s="4">
        <f t="shared" si="3"/>
        <v>30</v>
      </c>
      <c r="G32" s="4">
        <f t="shared" si="4"/>
        <v>8</v>
      </c>
      <c r="H32" s="15" t="s">
        <v>16</v>
      </c>
    </row>
    <row r="33" spans="1:9" ht="14.25" customHeight="1">
      <c r="A33" s="1"/>
      <c r="B33" s="20" t="str">
        <f t="shared" si="0"/>
        <v>Do</v>
      </c>
      <c r="C33" s="5">
        <f t="shared" si="5"/>
        <v>45981</v>
      </c>
      <c r="D33" s="6">
        <f t="shared" si="1"/>
        <v>0.35416666666666669</v>
      </c>
      <c r="E33" s="6">
        <f t="shared" si="2"/>
        <v>0.70833333333333337</v>
      </c>
      <c r="F33" s="4">
        <f t="shared" si="3"/>
        <v>30</v>
      </c>
      <c r="G33" s="4">
        <f t="shared" si="4"/>
        <v>8</v>
      </c>
      <c r="H33" s="15" t="s">
        <v>16</v>
      </c>
    </row>
    <row r="34" spans="1:9" ht="14.25" customHeight="1">
      <c r="A34" s="1"/>
      <c r="B34" s="20" t="str">
        <f t="shared" si="0"/>
        <v>Fr</v>
      </c>
      <c r="C34" s="5">
        <f t="shared" si="5"/>
        <v>45982</v>
      </c>
      <c r="D34" s="6">
        <f t="shared" si="1"/>
        <v>0.35416666666666669</v>
      </c>
      <c r="E34" s="6">
        <f t="shared" si="2"/>
        <v>0.70833333333333337</v>
      </c>
      <c r="F34" s="4">
        <f t="shared" si="3"/>
        <v>30</v>
      </c>
      <c r="G34" s="4">
        <f t="shared" si="4"/>
        <v>8</v>
      </c>
      <c r="H34" s="15" t="s">
        <v>16</v>
      </c>
      <c r="I34" s="2"/>
    </row>
    <row r="35" spans="1:9" ht="14.25" customHeight="1">
      <c r="A35" s="1"/>
      <c r="B35" s="20" t="str">
        <f t="shared" si="0"/>
        <v>Sa</v>
      </c>
      <c r="C35" s="5">
        <f t="shared" si="5"/>
        <v>45983</v>
      </c>
      <c r="D35" s="6" t="str">
        <f t="shared" si="1"/>
        <v/>
      </c>
      <c r="E35" s="6" t="str">
        <f t="shared" si="2"/>
        <v/>
      </c>
      <c r="F35" s="4" t="str">
        <f t="shared" si="3"/>
        <v/>
      </c>
      <c r="G35" s="4">
        <f t="shared" si="4"/>
        <v>40</v>
      </c>
      <c r="H35" s="15" t="s">
        <v>16</v>
      </c>
      <c r="I35" s="2"/>
    </row>
    <row r="36" spans="1:9" ht="14.25" customHeight="1">
      <c r="A36" s="1"/>
      <c r="B36" s="20" t="str">
        <f t="shared" si="0"/>
        <v>So</v>
      </c>
      <c r="C36" s="5">
        <f t="shared" si="5"/>
        <v>45984</v>
      </c>
      <c r="D36" s="6" t="str">
        <f t="shared" si="1"/>
        <v/>
      </c>
      <c r="E36" s="6" t="str">
        <f t="shared" si="2"/>
        <v/>
      </c>
      <c r="F36" s="4" t="str">
        <f t="shared" si="3"/>
        <v/>
      </c>
      <c r="G36" s="4" t="str">
        <f t="shared" si="4"/>
        <v/>
      </c>
      <c r="H36" s="15" t="s">
        <v>16</v>
      </c>
      <c r="I36" s="2"/>
    </row>
    <row r="37" spans="1:9" ht="14.25" customHeight="1">
      <c r="A37" s="1"/>
      <c r="B37" s="20" t="str">
        <f t="shared" si="0"/>
        <v>Mo</v>
      </c>
      <c r="C37" s="5">
        <f t="shared" si="5"/>
        <v>45985</v>
      </c>
      <c r="D37" s="6">
        <f t="shared" si="1"/>
        <v>0.35416666666666669</v>
      </c>
      <c r="E37" s="6">
        <f t="shared" si="2"/>
        <v>0.70833333333333337</v>
      </c>
      <c r="F37" s="4">
        <f t="shared" si="3"/>
        <v>30</v>
      </c>
      <c r="G37" s="4">
        <f t="shared" si="4"/>
        <v>8</v>
      </c>
      <c r="H37" s="15" t="s">
        <v>16</v>
      </c>
      <c r="I37" s="2"/>
    </row>
    <row r="38" spans="1:9" ht="14.25" customHeight="1">
      <c r="A38" s="1"/>
      <c r="B38" s="20" t="str">
        <f t="shared" si="0"/>
        <v>Di</v>
      </c>
      <c r="C38" s="5">
        <f t="shared" si="5"/>
        <v>45986</v>
      </c>
      <c r="D38" s="6">
        <f t="shared" si="1"/>
        <v>0.35416666666666669</v>
      </c>
      <c r="E38" s="6">
        <f t="shared" si="2"/>
        <v>0.70833333333333337</v>
      </c>
      <c r="F38" s="4">
        <f t="shared" si="3"/>
        <v>30</v>
      </c>
      <c r="G38" s="4">
        <f t="shared" si="4"/>
        <v>8</v>
      </c>
      <c r="H38" s="15" t="s">
        <v>16</v>
      </c>
      <c r="I38" s="2"/>
    </row>
    <row r="39" spans="1:9" ht="14.25" customHeight="1">
      <c r="A39" s="1"/>
      <c r="B39" s="20" t="str">
        <f t="shared" si="0"/>
        <v>Mi</v>
      </c>
      <c r="C39" s="5">
        <f t="shared" si="5"/>
        <v>45987</v>
      </c>
      <c r="D39" s="6">
        <f t="shared" si="1"/>
        <v>0.35416666666666669</v>
      </c>
      <c r="E39" s="6">
        <f t="shared" si="2"/>
        <v>0.70833333333333337</v>
      </c>
      <c r="F39" s="4">
        <f t="shared" si="3"/>
        <v>30</v>
      </c>
      <c r="G39" s="4">
        <f t="shared" si="4"/>
        <v>8</v>
      </c>
      <c r="H39" s="15" t="s">
        <v>16</v>
      </c>
      <c r="I39" s="2"/>
    </row>
    <row r="40" spans="1:9" ht="14.25" customHeight="1">
      <c r="A40" s="1"/>
      <c r="B40" s="20" t="str">
        <f t="shared" si="0"/>
        <v>Do</v>
      </c>
      <c r="C40" s="5">
        <f t="shared" si="5"/>
        <v>45988</v>
      </c>
      <c r="D40" s="6">
        <f t="shared" si="1"/>
        <v>0.35416666666666669</v>
      </c>
      <c r="E40" s="6">
        <f t="shared" si="2"/>
        <v>0.70833333333333337</v>
      </c>
      <c r="F40" s="4">
        <f t="shared" si="3"/>
        <v>30</v>
      </c>
      <c r="G40" s="4">
        <f t="shared" si="4"/>
        <v>8</v>
      </c>
      <c r="H40" s="15" t="s">
        <v>16</v>
      </c>
      <c r="I40" s="2"/>
    </row>
    <row r="41" spans="1:9" ht="14.25" customHeight="1">
      <c r="A41" s="1"/>
      <c r="B41" s="20" t="str">
        <f t="shared" si="0"/>
        <v>Fr</v>
      </c>
      <c r="C41" s="5">
        <f t="shared" si="5"/>
        <v>45989</v>
      </c>
      <c r="D41" s="6">
        <f t="shared" si="1"/>
        <v>0.35416666666666669</v>
      </c>
      <c r="E41" s="6">
        <f t="shared" si="2"/>
        <v>0.70833333333333337</v>
      </c>
      <c r="F41" s="4">
        <f t="shared" si="3"/>
        <v>30</v>
      </c>
      <c r="G41" s="4">
        <f t="shared" si="4"/>
        <v>8</v>
      </c>
      <c r="H41" s="15" t="s">
        <v>16</v>
      </c>
      <c r="I41" s="2"/>
    </row>
    <row r="42" spans="1:9" ht="14.25" customHeight="1">
      <c r="A42" s="1"/>
      <c r="B42" s="20" t="str">
        <f t="shared" si="0"/>
        <v>Sa</v>
      </c>
      <c r="C42" s="5">
        <f t="shared" si="5"/>
        <v>45990</v>
      </c>
      <c r="D42" s="6" t="str">
        <f t="shared" si="1"/>
        <v/>
      </c>
      <c r="E42" s="6" t="str">
        <f t="shared" si="2"/>
        <v/>
      </c>
      <c r="F42" s="4" t="str">
        <f t="shared" si="3"/>
        <v/>
      </c>
      <c r="G42" s="4">
        <f t="shared" si="4"/>
        <v>40</v>
      </c>
      <c r="H42" s="15" t="s">
        <v>16</v>
      </c>
      <c r="I42" s="2"/>
    </row>
    <row r="43" spans="1:9" ht="14.25" customHeight="1">
      <c r="A43" s="1"/>
      <c r="B43" s="20" t="str">
        <f t="shared" si="0"/>
        <v>So</v>
      </c>
      <c r="C43" s="5">
        <f t="shared" si="5"/>
        <v>45991</v>
      </c>
      <c r="D43" s="6" t="str">
        <f t="shared" si="1"/>
        <v/>
      </c>
      <c r="E43" s="6" t="str">
        <f t="shared" si="2"/>
        <v/>
      </c>
      <c r="F43" s="4" t="str">
        <f t="shared" si="3"/>
        <v/>
      </c>
      <c r="G43" s="4" t="str">
        <f t="shared" si="4"/>
        <v/>
      </c>
      <c r="H43" s="15" t="s">
        <v>16</v>
      </c>
      <c r="I43" s="2"/>
    </row>
    <row r="44" spans="1:9" ht="14.25" customHeight="1">
      <c r="A44" s="14"/>
      <c r="B44" s="20" t="str">
        <f t="shared" si="0"/>
        <v>Mo</v>
      </c>
      <c r="C44" s="5">
        <f t="shared" si="5"/>
        <v>45992</v>
      </c>
      <c r="D44" s="6">
        <f t="shared" si="1"/>
        <v>0.35416666666666669</v>
      </c>
      <c r="E44" s="6">
        <f t="shared" si="2"/>
        <v>0.70833333333333337</v>
      </c>
      <c r="F44" s="4">
        <f t="shared" si="3"/>
        <v>30</v>
      </c>
      <c r="G44" s="4">
        <f t="shared" si="4"/>
        <v>8</v>
      </c>
      <c r="H44" s="15" t="s">
        <v>16</v>
      </c>
      <c r="I44" s="2"/>
    </row>
    <row r="45" spans="1:9" ht="14.25" customHeight="1">
      <c r="A45" s="14"/>
      <c r="B45" s="75" t="str">
        <f t="shared" si="0"/>
        <v>Di</v>
      </c>
      <c r="C45" s="76">
        <f>C44+1</f>
        <v>45993</v>
      </c>
      <c r="D45" s="79">
        <f t="shared" si="1"/>
        <v>0.35416666666666669</v>
      </c>
      <c r="E45" s="79">
        <f t="shared" si="2"/>
        <v>0.70833333333333337</v>
      </c>
      <c r="F45" s="80">
        <f t="shared" si="3"/>
        <v>30</v>
      </c>
      <c r="G45" s="4">
        <f t="shared" si="4"/>
        <v>8</v>
      </c>
      <c r="H45" s="74"/>
      <c r="I45" s="2"/>
    </row>
    <row r="46" spans="1:9" ht="14.25" customHeight="1">
      <c r="A46" s="14"/>
      <c r="B46" s="71"/>
      <c r="C46" s="72"/>
      <c r="D46" s="73"/>
      <c r="E46" s="73"/>
      <c r="F46" s="14"/>
      <c r="G46" s="14"/>
      <c r="H46" s="74"/>
      <c r="I46" s="2"/>
    </row>
    <row r="47" spans="1:9" ht="14.25" customHeight="1">
      <c r="A47" s="1"/>
      <c r="B47" s="22" t="e" vm="4">
        <f>Eingabedaten!B18</f>
        <v>#VALUE!</v>
      </c>
      <c r="C47" s="22"/>
      <c r="D47" s="22"/>
      <c r="E47" s="1"/>
      <c r="F47" s="1"/>
      <c r="G47" s="1"/>
      <c r="H47" s="1"/>
      <c r="I47" s="2"/>
    </row>
    <row r="48" spans="1:9" ht="14.25" customHeight="1">
      <c r="A48" s="1"/>
      <c r="B48" s="22"/>
      <c r="C48" s="22"/>
      <c r="D48" s="22"/>
      <c r="E48" s="1"/>
      <c r="F48" s="22">
        <f>Eingabedaten!B22</f>
        <v>0</v>
      </c>
      <c r="G48" s="22"/>
      <c r="H48" s="22"/>
      <c r="I48" s="2"/>
    </row>
    <row r="49" spans="1:9" ht="14.25" customHeight="1">
      <c r="A49" s="1"/>
      <c r="B49" s="22"/>
      <c r="C49" s="22"/>
      <c r="D49" s="22"/>
      <c r="E49" s="14"/>
      <c r="F49" s="22"/>
      <c r="G49" s="22"/>
      <c r="H49" s="22"/>
    </row>
    <row r="50" spans="1:9" ht="14.25" customHeight="1" thickBot="1">
      <c r="A50" s="1"/>
      <c r="B50" s="25">
        <f>C44</f>
        <v>45992</v>
      </c>
      <c r="C50" s="26"/>
      <c r="D50" s="7"/>
      <c r="E50" s="1"/>
      <c r="F50" s="13">
        <f>B50</f>
        <v>45992</v>
      </c>
      <c r="G50" s="7"/>
      <c r="H50" s="7"/>
    </row>
    <row r="51" spans="1:9" ht="14.25" customHeight="1">
      <c r="A51" s="2"/>
      <c r="B51" s="27" t="s">
        <v>17</v>
      </c>
      <c r="C51" s="28"/>
      <c r="D51" s="29"/>
      <c r="E51" s="1"/>
      <c r="F51" s="27" t="s">
        <v>18</v>
      </c>
      <c r="G51" s="28"/>
      <c r="H51" s="29"/>
    </row>
    <row r="52" spans="1:9" ht="14.25" customHeight="1">
      <c r="A52" s="2"/>
    </row>
    <row r="53" spans="1:9" ht="14.25" customHeight="1">
      <c r="A53" s="2"/>
    </row>
    <row r="54" spans="1:9" ht="14.25" customHeight="1">
      <c r="A54" s="2"/>
      <c r="I54" s="2"/>
    </row>
    <row r="55" spans="1:9" ht="14.25" customHeight="1">
      <c r="A55" s="2"/>
      <c r="B55" s="2"/>
      <c r="C55" s="2"/>
      <c r="D55" s="2"/>
      <c r="E55" s="2"/>
      <c r="F55" s="2"/>
      <c r="G55" s="2"/>
      <c r="H55" s="2"/>
      <c r="I55" s="2"/>
    </row>
    <row r="56" spans="1:9" ht="14.25" customHeight="1">
      <c r="A56" s="2"/>
      <c r="B56" s="2"/>
      <c r="C56" s="2"/>
      <c r="D56" s="2"/>
      <c r="E56" s="2"/>
      <c r="F56" s="2"/>
      <c r="G56" s="2"/>
      <c r="H56" s="2"/>
      <c r="I56" s="2"/>
    </row>
    <row r="57" spans="1:9" ht="14.25" customHeight="1">
      <c r="A57" s="2"/>
      <c r="B57" s="2"/>
      <c r="C57" s="2"/>
      <c r="D57" s="2"/>
      <c r="E57" s="2"/>
      <c r="F57" s="2"/>
      <c r="G57" s="2"/>
      <c r="H57" s="2"/>
      <c r="I57" s="2"/>
    </row>
    <row r="58" spans="1:9" ht="14.25" customHeight="1">
      <c r="A58" s="2"/>
      <c r="B58" s="2"/>
      <c r="C58" s="2"/>
      <c r="D58" s="2"/>
      <c r="E58" s="2"/>
      <c r="F58" s="2"/>
      <c r="G58" s="2"/>
      <c r="H58" s="2"/>
      <c r="I58" s="2"/>
    </row>
    <row r="59" spans="1:9" ht="14.25" customHeight="1">
      <c r="A59" s="2"/>
      <c r="B59" s="2"/>
      <c r="C59" s="2"/>
      <c r="D59" s="2"/>
      <c r="E59" s="2"/>
      <c r="F59" s="2"/>
      <c r="G59" s="2"/>
      <c r="H59" s="2"/>
      <c r="I59" s="2"/>
    </row>
    <row r="60" spans="1:9" ht="14.25" customHeight="1">
      <c r="A60" s="2"/>
      <c r="B60" s="2"/>
      <c r="C60" s="2"/>
      <c r="D60" s="2"/>
      <c r="E60" s="2"/>
      <c r="F60" s="2"/>
      <c r="G60" s="2"/>
      <c r="H60" s="2"/>
      <c r="I60" s="2"/>
    </row>
    <row r="61" spans="1:9" ht="14.25" customHeight="1">
      <c r="A61" s="2"/>
      <c r="B61" s="2"/>
      <c r="C61" s="2"/>
      <c r="D61" s="2"/>
      <c r="E61" s="2"/>
      <c r="F61" s="2"/>
      <c r="G61" s="2"/>
      <c r="H61" s="2"/>
      <c r="I61" s="2"/>
    </row>
    <row r="62" spans="1:9" ht="14.25" customHeight="1">
      <c r="A62" s="2"/>
      <c r="B62" s="2"/>
      <c r="C62" s="2"/>
      <c r="D62" s="2"/>
      <c r="E62" s="2"/>
      <c r="F62" s="2"/>
      <c r="G62" s="2"/>
      <c r="H62" s="2"/>
      <c r="I62" s="2"/>
    </row>
    <row r="63" spans="1:9" ht="14.25" customHeight="1">
      <c r="A63" s="2"/>
      <c r="B63" s="2"/>
      <c r="C63" s="2"/>
      <c r="D63" s="2"/>
      <c r="E63" s="2"/>
      <c r="F63" s="2"/>
      <c r="G63" s="2"/>
      <c r="H63" s="2"/>
      <c r="I63" s="2"/>
    </row>
    <row r="64" spans="1:9" ht="14.25" customHeight="1">
      <c r="A64" s="2"/>
      <c r="B64" s="2"/>
      <c r="C64" s="2"/>
      <c r="D64" s="2"/>
      <c r="E64" s="2"/>
      <c r="F64" s="2"/>
      <c r="G64" s="2"/>
      <c r="H64" s="2"/>
      <c r="I64" s="2"/>
    </row>
    <row r="65" spans="1:9" ht="14.25" customHeight="1">
      <c r="A65" s="2"/>
      <c r="B65" s="2"/>
      <c r="C65" s="2"/>
      <c r="D65" s="2"/>
      <c r="E65" s="2"/>
      <c r="F65" s="2"/>
      <c r="G65" s="2"/>
      <c r="H65" s="2"/>
      <c r="I65" s="2"/>
    </row>
    <row r="66" spans="1:9" ht="14.25" customHeight="1">
      <c r="A66" s="2"/>
      <c r="B66" s="2"/>
      <c r="C66" s="2"/>
      <c r="D66" s="2"/>
      <c r="E66" s="2"/>
      <c r="F66" s="2"/>
      <c r="G66" s="2"/>
      <c r="H66" s="2"/>
      <c r="I66" s="2"/>
    </row>
    <row r="67" spans="1:9" ht="14.25" customHeight="1">
      <c r="A67" s="2"/>
      <c r="B67" s="2"/>
      <c r="C67" s="2"/>
      <c r="D67" s="2"/>
      <c r="E67" s="2"/>
      <c r="F67" s="2"/>
      <c r="G67" s="2"/>
      <c r="H67" s="2"/>
      <c r="I67" s="2"/>
    </row>
    <row r="68" spans="1:9" ht="14.25" customHeight="1">
      <c r="A68" s="2"/>
      <c r="B68" s="2"/>
      <c r="C68" s="2"/>
      <c r="D68" s="2"/>
      <c r="E68" s="2"/>
      <c r="F68" s="2"/>
      <c r="G68" s="2"/>
      <c r="H68" s="2"/>
      <c r="I68" s="2"/>
    </row>
    <row r="69" spans="1:9" ht="14.25" customHeight="1">
      <c r="A69" s="2"/>
      <c r="B69" s="2"/>
      <c r="C69" s="2"/>
      <c r="D69" s="2"/>
      <c r="E69" s="2"/>
      <c r="F69" s="2"/>
      <c r="G69" s="2"/>
      <c r="H69" s="2"/>
      <c r="I69" s="2"/>
    </row>
    <row r="70" spans="1:9" ht="14.25" customHeight="1">
      <c r="A70" s="2"/>
      <c r="B70" s="2"/>
      <c r="C70" s="2"/>
      <c r="D70" s="2"/>
      <c r="E70" s="2"/>
      <c r="F70" s="2"/>
      <c r="G70" s="2"/>
      <c r="H70" s="2"/>
      <c r="I70" s="2"/>
    </row>
    <row r="71" spans="1:9" ht="14.25" customHeight="1">
      <c r="A71" s="2"/>
      <c r="B71" s="2"/>
      <c r="C71" s="2"/>
      <c r="D71" s="2"/>
      <c r="E71" s="2"/>
      <c r="F71" s="2"/>
      <c r="G71" s="2"/>
      <c r="H71" s="2"/>
      <c r="I71" s="2"/>
    </row>
    <row r="72" spans="1:9" ht="14.25" customHeight="1">
      <c r="A72" s="2"/>
      <c r="B72" s="2"/>
      <c r="C72" s="2"/>
      <c r="D72" s="2"/>
      <c r="E72" s="2"/>
      <c r="F72" s="2"/>
      <c r="G72" s="2"/>
      <c r="H72" s="2"/>
      <c r="I72" s="2"/>
    </row>
    <row r="73" spans="1:9" ht="14.25" customHeight="1">
      <c r="A73" s="2"/>
      <c r="B73" s="2"/>
      <c r="C73" s="2"/>
      <c r="D73" s="2"/>
      <c r="E73" s="2"/>
      <c r="F73" s="2"/>
      <c r="G73" s="2"/>
      <c r="H73" s="2"/>
      <c r="I73" s="2"/>
    </row>
    <row r="74" spans="1:9" ht="14.25" customHeight="1">
      <c r="A74" s="2"/>
      <c r="B74" s="2"/>
      <c r="C74" s="2"/>
      <c r="D74" s="2"/>
      <c r="E74" s="2"/>
      <c r="F74" s="2"/>
      <c r="G74" s="2"/>
      <c r="H74" s="2"/>
      <c r="I74" s="2"/>
    </row>
    <row r="75" spans="1:9" ht="14.25" customHeight="1">
      <c r="A75" s="2"/>
      <c r="B75" s="2"/>
      <c r="C75" s="2"/>
      <c r="D75" s="2"/>
      <c r="E75" s="2"/>
      <c r="F75" s="2"/>
      <c r="G75" s="2"/>
      <c r="H75" s="2"/>
      <c r="I75" s="2"/>
    </row>
    <row r="76" spans="1:9" ht="14.25" customHeight="1">
      <c r="A76" s="2"/>
      <c r="B76" s="2"/>
      <c r="C76" s="2"/>
      <c r="D76" s="2"/>
      <c r="E76" s="2"/>
      <c r="F76" s="2"/>
      <c r="G76" s="2"/>
      <c r="H76" s="2"/>
      <c r="I76" s="2"/>
    </row>
    <row r="77" spans="1:9" ht="14.25" customHeight="1">
      <c r="A77" s="2"/>
      <c r="B77" s="2"/>
      <c r="C77" s="2"/>
      <c r="D77" s="2"/>
      <c r="E77" s="2"/>
      <c r="F77" s="2"/>
      <c r="G77" s="2"/>
      <c r="H77" s="2"/>
      <c r="I77" s="2"/>
    </row>
    <row r="78" spans="1:9" ht="14.25" customHeight="1">
      <c r="A78" s="2"/>
      <c r="B78" s="2"/>
      <c r="C78" s="2"/>
      <c r="D78" s="2"/>
      <c r="E78" s="2"/>
      <c r="F78" s="2"/>
      <c r="G78" s="2"/>
      <c r="H78" s="2"/>
      <c r="I78" s="2"/>
    </row>
    <row r="79" spans="1:9" ht="14.25" customHeight="1">
      <c r="A79" s="2"/>
      <c r="B79" s="2"/>
      <c r="C79" s="2"/>
      <c r="D79" s="2"/>
      <c r="E79" s="2"/>
      <c r="F79" s="2"/>
      <c r="G79" s="2"/>
      <c r="H79" s="2"/>
      <c r="I79" s="2"/>
    </row>
    <row r="80" spans="1:9" ht="14.25" customHeight="1">
      <c r="A80" s="2"/>
      <c r="B80" s="2"/>
      <c r="C80" s="2"/>
      <c r="D80" s="2"/>
      <c r="E80" s="2"/>
      <c r="F80" s="2"/>
      <c r="G80" s="2"/>
      <c r="H80" s="2"/>
      <c r="I80" s="2"/>
    </row>
    <row r="81" spans="1:9" ht="14.25" customHeight="1">
      <c r="A81" s="2"/>
      <c r="B81" s="2"/>
      <c r="C81" s="2"/>
      <c r="D81" s="2"/>
      <c r="E81" s="2"/>
      <c r="F81" s="2"/>
      <c r="G81" s="2"/>
      <c r="H81" s="2"/>
      <c r="I81" s="2"/>
    </row>
    <row r="82" spans="1:9" ht="14.25" customHeight="1">
      <c r="A82" s="2"/>
      <c r="B82" s="2"/>
      <c r="C82" s="2"/>
      <c r="D82" s="2"/>
      <c r="E82" s="2"/>
      <c r="F82" s="2"/>
      <c r="G82" s="2"/>
      <c r="H82" s="2"/>
      <c r="I82" s="2"/>
    </row>
    <row r="83" spans="1:9" ht="14.25" customHeight="1">
      <c r="A83" s="2"/>
      <c r="B83" s="2"/>
      <c r="C83" s="2"/>
      <c r="D83" s="2"/>
      <c r="E83" s="2"/>
      <c r="F83" s="2"/>
      <c r="G83" s="2"/>
      <c r="H83" s="2"/>
      <c r="I83" s="2"/>
    </row>
    <row r="84" spans="1:9" ht="14.25" customHeight="1">
      <c r="A84" s="2"/>
      <c r="B84" s="2"/>
      <c r="C84" s="2"/>
      <c r="D84" s="2"/>
      <c r="E84" s="2"/>
      <c r="F84" s="2"/>
      <c r="G84" s="2"/>
      <c r="H84" s="2"/>
      <c r="I84" s="2"/>
    </row>
    <row r="85" spans="1:9" ht="14.25" customHeight="1">
      <c r="A85" s="2"/>
      <c r="B85" s="2"/>
      <c r="C85" s="2"/>
      <c r="D85" s="2"/>
      <c r="E85" s="2"/>
      <c r="F85" s="2"/>
      <c r="G85" s="2"/>
      <c r="H85" s="2"/>
      <c r="I85" s="2"/>
    </row>
    <row r="86" spans="1:9" ht="14.25" customHeight="1">
      <c r="A86" s="2"/>
      <c r="B86" s="2"/>
      <c r="C86" s="2"/>
      <c r="D86" s="2"/>
      <c r="E86" s="2"/>
      <c r="F86" s="2"/>
      <c r="G86" s="2"/>
      <c r="H86" s="2"/>
      <c r="I86" s="2"/>
    </row>
    <row r="87" spans="1:9" ht="14.25" customHeight="1">
      <c r="A87" s="2"/>
      <c r="B87" s="2"/>
      <c r="C87" s="2"/>
      <c r="D87" s="2"/>
      <c r="E87" s="2"/>
      <c r="F87" s="2"/>
      <c r="G87" s="2"/>
      <c r="H87" s="2"/>
      <c r="I87" s="2"/>
    </row>
    <row r="88" spans="1:9" ht="14.25" customHeight="1">
      <c r="A88" s="2"/>
      <c r="B88" s="2"/>
      <c r="C88" s="2"/>
      <c r="D88" s="2"/>
      <c r="E88" s="2"/>
      <c r="F88" s="2"/>
      <c r="G88" s="2"/>
      <c r="H88" s="2"/>
      <c r="I88" s="2"/>
    </row>
    <row r="89" spans="1:9" ht="14.25" customHeight="1">
      <c r="A89" s="2"/>
      <c r="B89" s="2"/>
      <c r="C89" s="2"/>
      <c r="D89" s="2"/>
      <c r="E89" s="2"/>
      <c r="F89" s="2"/>
      <c r="G89" s="2"/>
      <c r="H89" s="2"/>
      <c r="I89" s="2"/>
    </row>
    <row r="90" spans="1:9" ht="14.25" customHeight="1">
      <c r="A90" s="2"/>
      <c r="B90" s="2"/>
      <c r="C90" s="2"/>
      <c r="D90" s="2"/>
      <c r="E90" s="2"/>
      <c r="F90" s="2"/>
      <c r="G90" s="2"/>
      <c r="H90" s="2"/>
      <c r="I90" s="2"/>
    </row>
    <row r="91" spans="1:9" ht="14.25" customHeight="1">
      <c r="A91" s="2"/>
      <c r="B91" s="2"/>
      <c r="C91" s="2"/>
      <c r="D91" s="2"/>
      <c r="E91" s="2"/>
      <c r="F91" s="2"/>
      <c r="G91" s="2"/>
      <c r="H91" s="2"/>
      <c r="I91" s="2"/>
    </row>
    <row r="92" spans="1:9" ht="14.25" customHeight="1">
      <c r="A92" s="2"/>
      <c r="B92" s="2"/>
      <c r="C92" s="2"/>
      <c r="D92" s="2"/>
      <c r="E92" s="2"/>
      <c r="F92" s="2"/>
      <c r="G92" s="2"/>
      <c r="H92" s="2"/>
      <c r="I92" s="2"/>
    </row>
    <row r="93" spans="1:9" ht="14.25" customHeight="1">
      <c r="A93" s="2"/>
      <c r="B93" s="2"/>
      <c r="C93" s="2"/>
      <c r="D93" s="2"/>
      <c r="E93" s="2"/>
      <c r="F93" s="2"/>
      <c r="G93" s="2"/>
      <c r="H93" s="2"/>
      <c r="I93" s="2"/>
    </row>
    <row r="94" spans="1:9" ht="14.25" customHeight="1">
      <c r="A94" s="2"/>
      <c r="B94" s="2"/>
      <c r="C94" s="2"/>
      <c r="D94" s="2"/>
      <c r="E94" s="2"/>
      <c r="F94" s="2"/>
      <c r="G94" s="2"/>
      <c r="H94" s="2"/>
      <c r="I94" s="2"/>
    </row>
    <row r="95" spans="1:9" ht="14.25" customHeight="1">
      <c r="A95" s="2"/>
      <c r="B95" s="2"/>
      <c r="C95" s="2"/>
      <c r="D95" s="2"/>
      <c r="E95" s="2"/>
      <c r="F95" s="2"/>
      <c r="G95" s="2"/>
      <c r="H95" s="2"/>
      <c r="I95" s="2"/>
    </row>
    <row r="96" spans="1:9" ht="14.25" customHeight="1">
      <c r="A96" s="2"/>
      <c r="B96" s="2"/>
      <c r="C96" s="2"/>
      <c r="D96" s="2"/>
      <c r="E96" s="2"/>
      <c r="F96" s="2"/>
      <c r="G96" s="2"/>
      <c r="H96" s="2"/>
      <c r="I96" s="2"/>
    </row>
    <row r="97" spans="1:9" ht="14.25" customHeight="1">
      <c r="A97" s="2"/>
      <c r="B97" s="2"/>
      <c r="C97" s="2"/>
      <c r="D97" s="2"/>
      <c r="E97" s="2"/>
      <c r="F97" s="2"/>
      <c r="G97" s="2"/>
      <c r="H97" s="2"/>
      <c r="I97" s="2"/>
    </row>
    <row r="98" spans="1:9" ht="14.25" customHeight="1">
      <c r="A98" s="2"/>
      <c r="B98" s="2"/>
      <c r="C98" s="2"/>
      <c r="D98" s="2"/>
      <c r="E98" s="2"/>
      <c r="F98" s="2"/>
      <c r="G98" s="2"/>
      <c r="H98" s="2"/>
      <c r="I98" s="2"/>
    </row>
    <row r="99" spans="1:9" ht="14.25" customHeight="1">
      <c r="A99" s="2"/>
      <c r="B99" s="2"/>
      <c r="C99" s="2"/>
      <c r="D99" s="2"/>
      <c r="E99" s="2"/>
      <c r="F99" s="2"/>
      <c r="G99" s="2"/>
      <c r="H99" s="2"/>
      <c r="I99" s="2"/>
    </row>
    <row r="100" spans="1:9" ht="14.25" customHeight="1">
      <c r="A100" s="2"/>
      <c r="B100" s="2"/>
      <c r="C100" s="2"/>
      <c r="D100" s="2"/>
      <c r="E100" s="2"/>
      <c r="F100" s="2"/>
      <c r="G100" s="2"/>
      <c r="H100" s="2"/>
      <c r="I100" s="2"/>
    </row>
    <row r="101" spans="1:9" ht="14.25" customHeight="1">
      <c r="A101" s="2"/>
      <c r="B101" s="2"/>
      <c r="C101" s="2"/>
      <c r="D101" s="2"/>
      <c r="E101" s="2"/>
      <c r="F101" s="2"/>
      <c r="G101" s="2"/>
      <c r="H101" s="2"/>
      <c r="I101" s="2"/>
    </row>
    <row r="102" spans="1:9" ht="14.25" customHeight="1">
      <c r="A102" s="2"/>
      <c r="B102" s="2"/>
      <c r="C102" s="2"/>
      <c r="D102" s="2"/>
      <c r="E102" s="2"/>
      <c r="F102" s="2"/>
      <c r="G102" s="2"/>
      <c r="H102" s="2"/>
      <c r="I102" s="2"/>
    </row>
    <row r="103" spans="1:9" ht="14.25" customHeight="1">
      <c r="A103" s="2"/>
      <c r="B103" s="2"/>
      <c r="C103" s="2"/>
      <c r="D103" s="2"/>
      <c r="E103" s="2"/>
      <c r="F103" s="2"/>
      <c r="G103" s="2"/>
      <c r="H103" s="2"/>
      <c r="I103" s="2"/>
    </row>
  </sheetData>
  <mergeCells count="14">
    <mergeCell ref="B51:D51"/>
    <mergeCell ref="F51:H51"/>
    <mergeCell ref="B9:D10"/>
    <mergeCell ref="F9:H10"/>
    <mergeCell ref="D13:E13"/>
    <mergeCell ref="B47:D49"/>
    <mergeCell ref="F48:H49"/>
    <mergeCell ref="B50:C50"/>
    <mergeCell ref="B2:D2"/>
    <mergeCell ref="B3:D3"/>
    <mergeCell ref="F3:H5"/>
    <mergeCell ref="B4:D4"/>
    <mergeCell ref="B5:D5"/>
    <mergeCell ref="B7:D8"/>
  </mergeCells>
  <conditionalFormatting sqref="F48:H49">
    <cfRule type="cellIs" dxfId="6" priority="3" operator="equal">
      <formula>0</formula>
    </cfRule>
  </conditionalFormatting>
  <conditionalFormatting sqref="D14:H44">
    <cfRule type="cellIs" dxfId="5" priority="1" operator="equal">
      <formula>""</formula>
    </cfRule>
    <cfRule type="cellIs" dxfId="4" priority="2" operator="notEqual">
      <formula>""</formula>
    </cfRule>
  </conditionalFormatting>
  <pageMargins left="0.7" right="0.7" top="0.78740157499999996" bottom="0.78740157499999996" header="0" footer="0"/>
  <pageSetup paperSize="9" scale="98" fitToWidth="0" fitToHeight="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BB23A4-DE2F-4C2F-8846-A34EC6B99AF5}">
  <dimension ref="A1:Q103"/>
  <sheetViews>
    <sheetView workbookViewId="0">
      <selection activeCell="B11" sqref="B11"/>
    </sheetView>
  </sheetViews>
  <sheetFormatPr baseColWidth="10" defaultColWidth="14.44140625" defaultRowHeight="15" customHeight="1"/>
  <cols>
    <col min="1" max="1" width="5.44140625" customWidth="1"/>
    <col min="2" max="2" width="3.44140625" customWidth="1"/>
    <col min="3" max="3" width="10.109375" bestFit="1" customWidth="1"/>
    <col min="4" max="5" width="10.5546875" customWidth="1"/>
    <col min="6" max="6" width="11.44140625" customWidth="1"/>
    <col min="7" max="7" width="10.88671875" bestFit="1" customWidth="1"/>
    <col min="8" max="8" width="9.88671875" customWidth="1"/>
    <col min="9" max="9" width="6.109375" customWidth="1"/>
    <col min="10" max="11" width="10.6640625" customWidth="1"/>
  </cols>
  <sheetData>
    <row r="1" spans="1:17" ht="14.25" customHeight="1">
      <c r="A1" s="1"/>
      <c r="B1" s="1"/>
      <c r="C1" s="1"/>
      <c r="D1" s="1"/>
      <c r="E1" s="1"/>
      <c r="F1" s="1"/>
      <c r="G1" s="1"/>
      <c r="H1" s="1"/>
      <c r="I1" s="2"/>
    </row>
    <row r="2" spans="1:17" ht="14.25" customHeight="1">
      <c r="A2" s="1"/>
      <c r="B2" s="68" t="s">
        <v>0</v>
      </c>
      <c r="C2" s="69"/>
      <c r="D2" s="70"/>
      <c r="E2" s="1"/>
      <c r="F2" s="1"/>
      <c r="G2" s="1"/>
      <c r="H2" s="1"/>
      <c r="I2" s="2"/>
    </row>
    <row r="3" spans="1:17" ht="14.25" customHeight="1">
      <c r="A3" s="1"/>
      <c r="B3" s="30" t="s">
        <v>19</v>
      </c>
      <c r="C3" s="31"/>
      <c r="D3" s="32"/>
      <c r="E3" s="1"/>
      <c r="F3" s="33" t="e" vm="3">
        <f>Eingabedaten!B14</f>
        <v>#VALUE!</v>
      </c>
      <c r="G3" s="34"/>
      <c r="H3" s="35"/>
      <c r="I3" s="2"/>
    </row>
    <row r="4" spans="1:17" ht="14.25" customHeight="1">
      <c r="A4" s="1"/>
      <c r="B4" s="42" t="s">
        <v>20</v>
      </c>
      <c r="C4" s="28"/>
      <c r="D4" s="43"/>
      <c r="E4" s="1"/>
      <c r="F4" s="36"/>
      <c r="G4" s="37"/>
      <c r="H4" s="38"/>
      <c r="I4" s="2"/>
    </row>
    <row r="5" spans="1:17" ht="14.25" customHeight="1">
      <c r="A5" s="1"/>
      <c r="B5" s="44" t="s">
        <v>21</v>
      </c>
      <c r="C5" s="45"/>
      <c r="D5" s="46"/>
      <c r="E5" s="1"/>
      <c r="F5" s="39"/>
      <c r="G5" s="40"/>
      <c r="H5" s="41"/>
      <c r="I5" s="2"/>
    </row>
    <row r="6" spans="1:17" ht="14.25" customHeight="1">
      <c r="A6" s="1"/>
      <c r="B6" s="1"/>
      <c r="C6" s="1"/>
      <c r="D6" s="1"/>
      <c r="E6" s="1"/>
      <c r="F6" s="1"/>
      <c r="G6" s="1"/>
      <c r="H6" s="1"/>
      <c r="I6" s="2"/>
    </row>
    <row r="7" spans="1:17" ht="14.25" customHeight="1">
      <c r="A7" s="1"/>
      <c r="B7" s="47" t="s">
        <v>1</v>
      </c>
      <c r="C7" s="34"/>
      <c r="D7" s="35"/>
      <c r="E7" s="1"/>
      <c r="G7" s="19"/>
      <c r="H7" s="19"/>
      <c r="I7" s="2"/>
    </row>
    <row r="8" spans="1:17" ht="14.25" customHeight="1">
      <c r="A8" s="1"/>
      <c r="B8" s="41"/>
      <c r="C8" s="41"/>
      <c r="D8" s="41"/>
      <c r="E8" s="1"/>
      <c r="F8" s="19" t="s">
        <v>2</v>
      </c>
      <c r="G8" s="19"/>
      <c r="H8" s="19"/>
      <c r="I8" s="2"/>
    </row>
    <row r="9" spans="1:17" ht="14.25" customHeight="1" thickBot="1">
      <c r="A9" s="1"/>
      <c r="B9" s="56">
        <v>45992</v>
      </c>
      <c r="C9" s="57"/>
      <c r="D9" s="58"/>
      <c r="E9" s="1"/>
      <c r="F9" s="62" t="str">
        <f>Eingabedaten!C4 &amp; ", " &amp; Eingabedaten!C3</f>
        <v>Sternicki, Michael</v>
      </c>
      <c r="G9" s="63"/>
      <c r="H9" s="64"/>
      <c r="I9" s="2"/>
    </row>
    <row r="10" spans="1:17" ht="14.25" customHeight="1">
      <c r="A10" s="1"/>
      <c r="B10" s="59"/>
      <c r="C10" s="60"/>
      <c r="D10" s="61"/>
      <c r="F10" s="65"/>
      <c r="G10" s="66"/>
      <c r="H10" s="67"/>
    </row>
    <row r="11" spans="1:17" ht="14.25" customHeight="1">
      <c r="A11" s="1"/>
      <c r="B11" s="17"/>
      <c r="C11" s="17"/>
      <c r="D11" s="17"/>
      <c r="F11" s="17"/>
      <c r="G11" s="17"/>
      <c r="H11" s="17"/>
    </row>
    <row r="12" spans="1:17" ht="14.25" customHeight="1">
      <c r="A12" s="1"/>
      <c r="B12" s="77"/>
      <c r="C12" s="78"/>
      <c r="D12" s="1"/>
      <c r="E12" s="1"/>
      <c r="F12" s="1"/>
      <c r="G12" s="1"/>
      <c r="H12" s="1"/>
    </row>
    <row r="13" spans="1:17" ht="14.25" customHeight="1">
      <c r="A13" s="1"/>
      <c r="B13" s="3" t="s">
        <v>4</v>
      </c>
      <c r="C13" s="3" t="s">
        <v>5</v>
      </c>
      <c r="D13" s="23" t="s">
        <v>6</v>
      </c>
      <c r="E13" s="24"/>
      <c r="F13" s="3" t="s">
        <v>7</v>
      </c>
      <c r="G13" s="3" t="s">
        <v>8</v>
      </c>
      <c r="H13" s="3" t="s">
        <v>9</v>
      </c>
      <c r="K13" s="18"/>
      <c r="L13" s="18"/>
      <c r="M13" s="18"/>
      <c r="N13" s="18"/>
      <c r="O13" s="18"/>
      <c r="P13" s="18"/>
      <c r="Q13" s="18"/>
    </row>
    <row r="14" spans="1:17" ht="14.25" customHeight="1">
      <c r="A14" s="1"/>
      <c r="B14" s="20" t="str">
        <f>TEXT(C14,"TTT")</f>
        <v>Mo</v>
      </c>
      <c r="C14" s="5">
        <f>B9</f>
        <v>45992</v>
      </c>
      <c r="D14" s="6">
        <f>IF(OR(B14="Sa",B14="So"), "", TIME(8,30,0))</f>
        <v>0.35416666666666669</v>
      </c>
      <c r="E14" s="6">
        <f>IF(OR(B14="Sa",B14="So"), "", TIME(17,0,0))</f>
        <v>0.70833333333333337</v>
      </c>
      <c r="F14" s="4">
        <f>IF(OR(B14="Sa",B14="So"), "", 30)</f>
        <v>30</v>
      </c>
      <c r="G14" s="4">
        <f>IF(B14="Sa",SUM(G9:G13),IF(B14="So","",(E14-D14)*24-F14/60))</f>
        <v>8</v>
      </c>
      <c r="H14" s="4" t="s">
        <v>16</v>
      </c>
      <c r="K14" s="18"/>
      <c r="L14" s="18"/>
      <c r="M14" s="18"/>
      <c r="N14" s="18"/>
      <c r="O14" s="18"/>
      <c r="P14" s="18"/>
      <c r="Q14" s="18"/>
    </row>
    <row r="15" spans="1:17" ht="14.25" customHeight="1">
      <c r="A15" s="1"/>
      <c r="B15" s="20" t="str">
        <f t="shared" ref="B15:B45" si="0">TEXT(C15,"TTT")</f>
        <v>Di</v>
      </c>
      <c r="C15" s="5">
        <f>C14+1</f>
        <v>45993</v>
      </c>
      <c r="D15" s="6">
        <f t="shared" ref="D15:D45" si="1">IF(OR(B15="Sa",B15="So"), "", TIME(8,30,0))</f>
        <v>0.35416666666666669</v>
      </c>
      <c r="E15" s="6">
        <f t="shared" ref="E15:E45" si="2">IF(OR(B15="Sa",B15="So"), "", TIME(17,0,0))</f>
        <v>0.70833333333333337</v>
      </c>
      <c r="F15" s="4">
        <f t="shared" ref="F15:F45" si="3">IF(OR(B15="Sa",B15="So"), "", 30)</f>
        <v>30</v>
      </c>
      <c r="G15" s="4">
        <f t="shared" ref="G15:G45" si="4">IF(B15="Sa",SUM(G10:G14),IF(B15="So","",(E15-D15)*24-F15/60))</f>
        <v>8</v>
      </c>
      <c r="H15" s="4" t="s">
        <v>16</v>
      </c>
      <c r="K15" s="18"/>
      <c r="L15" s="18"/>
      <c r="M15" s="18"/>
      <c r="N15" s="18"/>
      <c r="O15" s="18"/>
      <c r="P15" s="18"/>
      <c r="Q15" s="18"/>
    </row>
    <row r="16" spans="1:17" ht="14.25" customHeight="1">
      <c r="A16" s="1"/>
      <c r="B16" s="20" t="str">
        <f t="shared" si="0"/>
        <v>Mi</v>
      </c>
      <c r="C16" s="5">
        <f t="shared" ref="C16:C44" si="5">C15+1</f>
        <v>45994</v>
      </c>
      <c r="D16" s="6">
        <f t="shared" si="1"/>
        <v>0.35416666666666669</v>
      </c>
      <c r="E16" s="6">
        <f t="shared" si="2"/>
        <v>0.70833333333333337</v>
      </c>
      <c r="F16" s="4">
        <f t="shared" si="3"/>
        <v>30</v>
      </c>
      <c r="G16" s="4">
        <f t="shared" si="4"/>
        <v>8</v>
      </c>
      <c r="H16" s="4" t="s">
        <v>16</v>
      </c>
      <c r="K16" s="18"/>
      <c r="L16" s="18"/>
      <c r="M16" s="18"/>
      <c r="N16" s="18"/>
      <c r="O16" s="18"/>
      <c r="P16" s="18"/>
      <c r="Q16" s="18"/>
    </row>
    <row r="17" spans="1:17" ht="14.25" customHeight="1">
      <c r="A17" s="1"/>
      <c r="B17" s="20" t="str">
        <f t="shared" si="0"/>
        <v>Do</v>
      </c>
      <c r="C17" s="5">
        <f t="shared" si="5"/>
        <v>45995</v>
      </c>
      <c r="D17" s="6">
        <f>IF(OR(B17="Sa",B17="So"), "", TIME(8,30,0))</f>
        <v>0.35416666666666669</v>
      </c>
      <c r="E17" s="6">
        <f t="shared" si="2"/>
        <v>0.70833333333333337</v>
      </c>
      <c r="F17" s="4">
        <f t="shared" si="3"/>
        <v>30</v>
      </c>
      <c r="G17" s="4">
        <f t="shared" si="4"/>
        <v>8</v>
      </c>
      <c r="H17" s="15" t="s">
        <v>16</v>
      </c>
      <c r="K17" s="18"/>
      <c r="L17" s="18"/>
      <c r="M17" s="18"/>
      <c r="N17" s="18"/>
      <c r="O17" s="18"/>
      <c r="P17" s="18"/>
      <c r="Q17" s="18"/>
    </row>
    <row r="18" spans="1:17" ht="14.25" customHeight="1">
      <c r="A18" s="1"/>
      <c r="B18" s="20" t="str">
        <f t="shared" si="0"/>
        <v>Fr</v>
      </c>
      <c r="C18" s="5">
        <f t="shared" si="5"/>
        <v>45996</v>
      </c>
      <c r="D18" s="6">
        <f t="shared" si="1"/>
        <v>0.35416666666666669</v>
      </c>
      <c r="E18" s="6">
        <f t="shared" si="2"/>
        <v>0.70833333333333337</v>
      </c>
      <c r="F18" s="4">
        <f t="shared" si="3"/>
        <v>30</v>
      </c>
      <c r="G18" s="4">
        <f t="shared" si="4"/>
        <v>8</v>
      </c>
      <c r="H18" s="15" t="s">
        <v>16</v>
      </c>
      <c r="K18" s="18"/>
      <c r="L18" s="18"/>
      <c r="M18" s="18"/>
      <c r="N18" s="18"/>
      <c r="O18" s="18"/>
      <c r="P18" s="18"/>
      <c r="Q18" s="18"/>
    </row>
    <row r="19" spans="1:17" ht="14.25" customHeight="1">
      <c r="A19" s="1"/>
      <c r="B19" s="20" t="str">
        <f t="shared" si="0"/>
        <v>Sa</v>
      </c>
      <c r="C19" s="5">
        <f t="shared" si="5"/>
        <v>45997</v>
      </c>
      <c r="D19" s="6" t="str">
        <f t="shared" si="1"/>
        <v/>
      </c>
      <c r="E19" s="6" t="str">
        <f t="shared" si="2"/>
        <v/>
      </c>
      <c r="F19" s="4" t="str">
        <f t="shared" si="3"/>
        <v/>
      </c>
      <c r="G19" s="4">
        <f t="shared" si="4"/>
        <v>40</v>
      </c>
      <c r="H19" s="15" t="s">
        <v>16</v>
      </c>
      <c r="K19" s="18"/>
      <c r="L19" s="18"/>
      <c r="M19" s="18"/>
      <c r="N19" s="18"/>
      <c r="O19" s="18"/>
      <c r="P19" s="18"/>
      <c r="Q19" s="18"/>
    </row>
    <row r="20" spans="1:17" ht="14.25" customHeight="1">
      <c r="A20" s="1"/>
      <c r="B20" s="20" t="str">
        <f t="shared" si="0"/>
        <v>So</v>
      </c>
      <c r="C20" s="5">
        <f t="shared" si="5"/>
        <v>45998</v>
      </c>
      <c r="D20" s="6" t="str">
        <f t="shared" si="1"/>
        <v/>
      </c>
      <c r="E20" s="6" t="str">
        <f t="shared" si="2"/>
        <v/>
      </c>
      <c r="F20" s="4" t="str">
        <f t="shared" si="3"/>
        <v/>
      </c>
      <c r="G20" s="4" t="str">
        <f t="shared" si="4"/>
        <v/>
      </c>
      <c r="H20" s="15" t="s">
        <v>16</v>
      </c>
      <c r="K20" s="18"/>
      <c r="L20" s="18"/>
      <c r="M20" s="18"/>
      <c r="N20" s="18"/>
      <c r="O20" s="18"/>
      <c r="P20" s="18"/>
      <c r="Q20" s="18"/>
    </row>
    <row r="21" spans="1:17" ht="14.25" customHeight="1">
      <c r="A21" s="14"/>
      <c r="B21" s="20" t="str">
        <f t="shared" si="0"/>
        <v>Mo</v>
      </c>
      <c r="C21" s="5">
        <f t="shared" si="5"/>
        <v>45999</v>
      </c>
      <c r="D21" s="6">
        <f t="shared" si="1"/>
        <v>0.35416666666666669</v>
      </c>
      <c r="E21" s="6">
        <f t="shared" si="2"/>
        <v>0.70833333333333337</v>
      </c>
      <c r="F21" s="4">
        <f t="shared" si="3"/>
        <v>30</v>
      </c>
      <c r="G21" s="4">
        <f t="shared" si="4"/>
        <v>8</v>
      </c>
      <c r="H21" s="15" t="s">
        <v>16</v>
      </c>
      <c r="K21" s="18"/>
      <c r="L21" s="18"/>
      <c r="M21" s="18"/>
      <c r="N21" s="18"/>
      <c r="O21" s="18"/>
      <c r="P21" s="18"/>
      <c r="Q21" s="18"/>
    </row>
    <row r="22" spans="1:17" ht="14.25" customHeight="1">
      <c r="A22" s="1"/>
      <c r="B22" s="20" t="str">
        <f t="shared" si="0"/>
        <v>Di</v>
      </c>
      <c r="C22" s="5">
        <f t="shared" si="5"/>
        <v>46000</v>
      </c>
      <c r="D22" s="6">
        <f t="shared" si="1"/>
        <v>0.35416666666666669</v>
      </c>
      <c r="E22" s="6">
        <f t="shared" si="2"/>
        <v>0.70833333333333337</v>
      </c>
      <c r="F22" s="4">
        <f t="shared" si="3"/>
        <v>30</v>
      </c>
      <c r="G22" s="4">
        <f t="shared" si="4"/>
        <v>8</v>
      </c>
      <c r="H22" s="15" t="s">
        <v>16</v>
      </c>
      <c r="K22" s="18"/>
      <c r="L22" s="18"/>
      <c r="M22" s="18"/>
      <c r="N22" s="18"/>
      <c r="O22" s="18"/>
      <c r="P22" s="18"/>
      <c r="Q22" s="18"/>
    </row>
    <row r="23" spans="1:17" ht="14.25" customHeight="1">
      <c r="A23" s="1"/>
      <c r="B23" s="20" t="str">
        <f t="shared" si="0"/>
        <v>Mi</v>
      </c>
      <c r="C23" s="5">
        <f t="shared" si="5"/>
        <v>46001</v>
      </c>
      <c r="D23" s="6">
        <f t="shared" si="1"/>
        <v>0.35416666666666669</v>
      </c>
      <c r="E23" s="6">
        <f t="shared" si="2"/>
        <v>0.70833333333333337</v>
      </c>
      <c r="F23" s="4">
        <f t="shared" si="3"/>
        <v>30</v>
      </c>
      <c r="G23" s="4">
        <f t="shared" si="4"/>
        <v>8</v>
      </c>
      <c r="H23" s="15" t="s">
        <v>16</v>
      </c>
    </row>
    <row r="24" spans="1:17" ht="14.25" customHeight="1">
      <c r="A24" s="1"/>
      <c r="B24" s="20" t="str">
        <f t="shared" si="0"/>
        <v>Do</v>
      </c>
      <c r="C24" s="5">
        <f t="shared" si="5"/>
        <v>46002</v>
      </c>
      <c r="D24" s="6">
        <f t="shared" si="1"/>
        <v>0.35416666666666669</v>
      </c>
      <c r="E24" s="6">
        <f t="shared" si="2"/>
        <v>0.70833333333333337</v>
      </c>
      <c r="F24" s="4">
        <f t="shared" si="3"/>
        <v>30</v>
      </c>
      <c r="G24" s="4">
        <f t="shared" si="4"/>
        <v>8</v>
      </c>
      <c r="H24" s="15" t="s">
        <v>16</v>
      </c>
    </row>
    <row r="25" spans="1:17" ht="14.25" customHeight="1">
      <c r="A25" s="1"/>
      <c r="B25" s="20" t="str">
        <f t="shared" si="0"/>
        <v>Fr</v>
      </c>
      <c r="C25" s="5">
        <f t="shared" si="5"/>
        <v>46003</v>
      </c>
      <c r="D25" s="6">
        <f t="shared" si="1"/>
        <v>0.35416666666666669</v>
      </c>
      <c r="E25" s="6">
        <f t="shared" si="2"/>
        <v>0.70833333333333337</v>
      </c>
      <c r="F25" s="4">
        <f t="shared" si="3"/>
        <v>30</v>
      </c>
      <c r="G25" s="4">
        <f t="shared" si="4"/>
        <v>8</v>
      </c>
      <c r="H25" s="15" t="s">
        <v>16</v>
      </c>
    </row>
    <row r="26" spans="1:17" ht="14.25" customHeight="1">
      <c r="A26" s="1"/>
      <c r="B26" s="20" t="str">
        <f t="shared" si="0"/>
        <v>Sa</v>
      </c>
      <c r="C26" s="5">
        <f t="shared" si="5"/>
        <v>46004</v>
      </c>
      <c r="D26" s="6" t="str">
        <f t="shared" si="1"/>
        <v/>
      </c>
      <c r="E26" s="6" t="str">
        <f t="shared" si="2"/>
        <v/>
      </c>
      <c r="F26" s="4" t="str">
        <f t="shared" si="3"/>
        <v/>
      </c>
      <c r="G26" s="4">
        <f t="shared" si="4"/>
        <v>40</v>
      </c>
      <c r="H26" s="15" t="s">
        <v>16</v>
      </c>
    </row>
    <row r="27" spans="1:17" ht="14.25" customHeight="1">
      <c r="A27" s="1"/>
      <c r="B27" s="20" t="str">
        <f t="shared" si="0"/>
        <v>So</v>
      </c>
      <c r="C27" s="5">
        <f t="shared" si="5"/>
        <v>46005</v>
      </c>
      <c r="D27" s="6" t="str">
        <f t="shared" si="1"/>
        <v/>
      </c>
      <c r="E27" s="6" t="str">
        <f t="shared" si="2"/>
        <v/>
      </c>
      <c r="F27" s="4" t="str">
        <f t="shared" si="3"/>
        <v/>
      </c>
      <c r="G27" s="4" t="str">
        <f t="shared" si="4"/>
        <v/>
      </c>
      <c r="H27" s="15" t="s">
        <v>16</v>
      </c>
    </row>
    <row r="28" spans="1:17" ht="14.25" customHeight="1">
      <c r="A28" s="1"/>
      <c r="B28" s="20" t="str">
        <f t="shared" si="0"/>
        <v>Mo</v>
      </c>
      <c r="C28" s="5">
        <f t="shared" si="5"/>
        <v>46006</v>
      </c>
      <c r="D28" s="6">
        <f t="shared" si="1"/>
        <v>0.35416666666666669</v>
      </c>
      <c r="E28" s="6">
        <f t="shared" si="2"/>
        <v>0.70833333333333337</v>
      </c>
      <c r="F28" s="4">
        <f t="shared" si="3"/>
        <v>30</v>
      </c>
      <c r="G28" s="4">
        <f t="shared" si="4"/>
        <v>8</v>
      </c>
      <c r="H28" s="15" t="s">
        <v>16</v>
      </c>
    </row>
    <row r="29" spans="1:17" ht="14.25" customHeight="1">
      <c r="A29" s="1"/>
      <c r="B29" s="20" t="str">
        <f t="shared" si="0"/>
        <v>Di</v>
      </c>
      <c r="C29" s="5">
        <f t="shared" si="5"/>
        <v>46007</v>
      </c>
      <c r="D29" s="6">
        <f t="shared" si="1"/>
        <v>0.35416666666666669</v>
      </c>
      <c r="E29" s="6">
        <f t="shared" si="2"/>
        <v>0.70833333333333337</v>
      </c>
      <c r="F29" s="4">
        <f t="shared" si="3"/>
        <v>30</v>
      </c>
      <c r="G29" s="4">
        <f t="shared" si="4"/>
        <v>8</v>
      </c>
      <c r="H29" s="15" t="s">
        <v>16</v>
      </c>
    </row>
    <row r="30" spans="1:17" ht="14.25" customHeight="1">
      <c r="A30" s="1"/>
      <c r="B30" s="20" t="str">
        <f t="shared" si="0"/>
        <v>Mi</v>
      </c>
      <c r="C30" s="5">
        <f t="shared" si="5"/>
        <v>46008</v>
      </c>
      <c r="D30" s="6">
        <f t="shared" si="1"/>
        <v>0.35416666666666669</v>
      </c>
      <c r="E30" s="6">
        <f t="shared" si="2"/>
        <v>0.70833333333333337</v>
      </c>
      <c r="F30" s="4">
        <f t="shared" si="3"/>
        <v>30</v>
      </c>
      <c r="G30" s="4">
        <f t="shared" si="4"/>
        <v>8</v>
      </c>
      <c r="H30" s="15" t="s">
        <v>16</v>
      </c>
    </row>
    <row r="31" spans="1:17" ht="14.25" customHeight="1">
      <c r="A31" s="1"/>
      <c r="B31" s="20" t="str">
        <f t="shared" si="0"/>
        <v>Do</v>
      </c>
      <c r="C31" s="5">
        <f t="shared" si="5"/>
        <v>46009</v>
      </c>
      <c r="D31" s="6">
        <f t="shared" si="1"/>
        <v>0.35416666666666669</v>
      </c>
      <c r="E31" s="6">
        <f t="shared" si="2"/>
        <v>0.70833333333333337</v>
      </c>
      <c r="F31" s="4">
        <f t="shared" si="3"/>
        <v>30</v>
      </c>
      <c r="G31" s="4">
        <f t="shared" si="4"/>
        <v>8</v>
      </c>
      <c r="H31" s="15" t="s">
        <v>16</v>
      </c>
    </row>
    <row r="32" spans="1:17" ht="14.25" customHeight="1">
      <c r="A32" s="1"/>
      <c r="B32" s="20" t="str">
        <f t="shared" si="0"/>
        <v>Fr</v>
      </c>
      <c r="C32" s="5">
        <f t="shared" si="5"/>
        <v>46010</v>
      </c>
      <c r="D32" s="6">
        <f t="shared" si="1"/>
        <v>0.35416666666666669</v>
      </c>
      <c r="E32" s="6">
        <f t="shared" si="2"/>
        <v>0.70833333333333337</v>
      </c>
      <c r="F32" s="4">
        <f t="shared" si="3"/>
        <v>30</v>
      </c>
      <c r="G32" s="4">
        <f t="shared" si="4"/>
        <v>8</v>
      </c>
      <c r="H32" s="15" t="s">
        <v>16</v>
      </c>
    </row>
    <row r="33" spans="1:9" ht="14.25" customHeight="1">
      <c r="A33" s="1"/>
      <c r="B33" s="20" t="str">
        <f t="shared" si="0"/>
        <v>Sa</v>
      </c>
      <c r="C33" s="5">
        <f t="shared" si="5"/>
        <v>46011</v>
      </c>
      <c r="D33" s="6" t="str">
        <f t="shared" si="1"/>
        <v/>
      </c>
      <c r="E33" s="6" t="str">
        <f t="shared" si="2"/>
        <v/>
      </c>
      <c r="F33" s="4" t="str">
        <f t="shared" si="3"/>
        <v/>
      </c>
      <c r="G33" s="4">
        <f t="shared" si="4"/>
        <v>40</v>
      </c>
      <c r="H33" s="15" t="s">
        <v>16</v>
      </c>
    </row>
    <row r="34" spans="1:9" ht="14.25" customHeight="1">
      <c r="A34" s="1"/>
      <c r="B34" s="20" t="str">
        <f t="shared" si="0"/>
        <v>So</v>
      </c>
      <c r="C34" s="5">
        <f t="shared" si="5"/>
        <v>46012</v>
      </c>
      <c r="D34" s="6" t="str">
        <f t="shared" si="1"/>
        <v/>
      </c>
      <c r="E34" s="6" t="str">
        <f t="shared" si="2"/>
        <v/>
      </c>
      <c r="F34" s="4" t="str">
        <f t="shared" si="3"/>
        <v/>
      </c>
      <c r="G34" s="4" t="str">
        <f t="shared" si="4"/>
        <v/>
      </c>
      <c r="H34" s="15" t="s">
        <v>16</v>
      </c>
      <c r="I34" s="2"/>
    </row>
    <row r="35" spans="1:9" ht="14.25" customHeight="1">
      <c r="A35" s="1"/>
      <c r="B35" s="20" t="str">
        <f t="shared" si="0"/>
        <v>Mo</v>
      </c>
      <c r="C35" s="5">
        <f t="shared" si="5"/>
        <v>46013</v>
      </c>
      <c r="D35" s="6">
        <f t="shared" si="1"/>
        <v>0.35416666666666669</v>
      </c>
      <c r="E35" s="6">
        <f t="shared" si="2"/>
        <v>0.70833333333333337</v>
      </c>
      <c r="F35" s="4">
        <f t="shared" si="3"/>
        <v>30</v>
      </c>
      <c r="G35" s="4">
        <f t="shared" si="4"/>
        <v>8</v>
      </c>
      <c r="H35" s="15" t="s">
        <v>16</v>
      </c>
      <c r="I35" s="2"/>
    </row>
    <row r="36" spans="1:9" ht="14.25" customHeight="1">
      <c r="A36" s="1"/>
      <c r="B36" s="20" t="str">
        <f t="shared" si="0"/>
        <v>Di</v>
      </c>
      <c r="C36" s="5">
        <f t="shared" si="5"/>
        <v>46014</v>
      </c>
      <c r="D36" s="6">
        <f t="shared" si="1"/>
        <v>0.35416666666666669</v>
      </c>
      <c r="E36" s="6">
        <f t="shared" si="2"/>
        <v>0.70833333333333337</v>
      </c>
      <c r="F36" s="4">
        <f t="shared" si="3"/>
        <v>30</v>
      </c>
      <c r="G36" s="4">
        <f t="shared" si="4"/>
        <v>8</v>
      </c>
      <c r="H36" s="15" t="s">
        <v>16</v>
      </c>
      <c r="I36" s="2"/>
    </row>
    <row r="37" spans="1:9" ht="14.25" customHeight="1">
      <c r="A37" s="1"/>
      <c r="B37" s="20" t="str">
        <f t="shared" si="0"/>
        <v>Mi</v>
      </c>
      <c r="C37" s="5">
        <f t="shared" si="5"/>
        <v>46015</v>
      </c>
      <c r="D37" s="6">
        <f t="shared" si="1"/>
        <v>0.35416666666666669</v>
      </c>
      <c r="E37" s="6">
        <f t="shared" si="2"/>
        <v>0.70833333333333337</v>
      </c>
      <c r="F37" s="4">
        <f t="shared" si="3"/>
        <v>30</v>
      </c>
      <c r="G37" s="4">
        <f t="shared" si="4"/>
        <v>8</v>
      </c>
      <c r="H37" s="15" t="s">
        <v>16</v>
      </c>
      <c r="I37" s="2"/>
    </row>
    <row r="38" spans="1:9" ht="14.25" customHeight="1">
      <c r="A38" s="1"/>
      <c r="B38" s="20" t="str">
        <f t="shared" si="0"/>
        <v>Do</v>
      </c>
      <c r="C38" s="5">
        <f t="shared" si="5"/>
        <v>46016</v>
      </c>
      <c r="D38" s="6">
        <f t="shared" si="1"/>
        <v>0.35416666666666669</v>
      </c>
      <c r="E38" s="6">
        <f t="shared" si="2"/>
        <v>0.70833333333333337</v>
      </c>
      <c r="F38" s="4">
        <f t="shared" si="3"/>
        <v>30</v>
      </c>
      <c r="G38" s="4">
        <f t="shared" si="4"/>
        <v>8</v>
      </c>
      <c r="H38" s="15" t="s">
        <v>16</v>
      </c>
      <c r="I38" s="2"/>
    </row>
    <row r="39" spans="1:9" ht="14.25" customHeight="1">
      <c r="A39" s="1"/>
      <c r="B39" s="20" t="str">
        <f t="shared" si="0"/>
        <v>Fr</v>
      </c>
      <c r="C39" s="5">
        <f t="shared" si="5"/>
        <v>46017</v>
      </c>
      <c r="D39" s="6">
        <f t="shared" si="1"/>
        <v>0.35416666666666669</v>
      </c>
      <c r="E39" s="6">
        <f t="shared" si="2"/>
        <v>0.70833333333333337</v>
      </c>
      <c r="F39" s="4">
        <f t="shared" si="3"/>
        <v>30</v>
      </c>
      <c r="G39" s="4">
        <f t="shared" si="4"/>
        <v>8</v>
      </c>
      <c r="H39" s="15" t="s">
        <v>16</v>
      </c>
      <c r="I39" s="2"/>
    </row>
    <row r="40" spans="1:9" ht="14.25" customHeight="1">
      <c r="A40" s="1"/>
      <c r="B40" s="20" t="str">
        <f t="shared" si="0"/>
        <v>Sa</v>
      </c>
      <c r="C40" s="5">
        <f t="shared" si="5"/>
        <v>46018</v>
      </c>
      <c r="D40" s="6" t="str">
        <f t="shared" si="1"/>
        <v/>
      </c>
      <c r="E40" s="6" t="str">
        <f t="shared" si="2"/>
        <v/>
      </c>
      <c r="F40" s="4" t="str">
        <f t="shared" si="3"/>
        <v/>
      </c>
      <c r="G40" s="4">
        <f t="shared" si="4"/>
        <v>40</v>
      </c>
      <c r="H40" s="15" t="s">
        <v>16</v>
      </c>
      <c r="I40" s="2"/>
    </row>
    <row r="41" spans="1:9" ht="14.25" customHeight="1">
      <c r="A41" s="1"/>
      <c r="B41" s="20" t="str">
        <f t="shared" si="0"/>
        <v>So</v>
      </c>
      <c r="C41" s="5">
        <f t="shared" si="5"/>
        <v>46019</v>
      </c>
      <c r="D41" s="6" t="str">
        <f t="shared" si="1"/>
        <v/>
      </c>
      <c r="E41" s="6" t="str">
        <f t="shared" si="2"/>
        <v/>
      </c>
      <c r="F41" s="4" t="str">
        <f t="shared" si="3"/>
        <v/>
      </c>
      <c r="G41" s="4" t="str">
        <f t="shared" si="4"/>
        <v/>
      </c>
      <c r="H41" s="15" t="s">
        <v>16</v>
      </c>
      <c r="I41" s="2"/>
    </row>
    <row r="42" spans="1:9" ht="14.25" customHeight="1">
      <c r="A42" s="1"/>
      <c r="B42" s="20" t="str">
        <f t="shared" si="0"/>
        <v>Mo</v>
      </c>
      <c r="C42" s="5">
        <f t="shared" si="5"/>
        <v>46020</v>
      </c>
      <c r="D42" s="6">
        <f t="shared" si="1"/>
        <v>0.35416666666666669</v>
      </c>
      <c r="E42" s="6">
        <f t="shared" si="2"/>
        <v>0.70833333333333337</v>
      </c>
      <c r="F42" s="4">
        <f t="shared" si="3"/>
        <v>30</v>
      </c>
      <c r="G42" s="4">
        <f t="shared" si="4"/>
        <v>8</v>
      </c>
      <c r="H42" s="15" t="s">
        <v>16</v>
      </c>
      <c r="I42" s="2"/>
    </row>
    <row r="43" spans="1:9" ht="14.25" customHeight="1">
      <c r="A43" s="1"/>
      <c r="B43" s="20" t="str">
        <f t="shared" si="0"/>
        <v>Di</v>
      </c>
      <c r="C43" s="5">
        <f t="shared" si="5"/>
        <v>46021</v>
      </c>
      <c r="D43" s="6">
        <f t="shared" si="1"/>
        <v>0.35416666666666669</v>
      </c>
      <c r="E43" s="6">
        <f t="shared" si="2"/>
        <v>0.70833333333333337</v>
      </c>
      <c r="F43" s="4">
        <f t="shared" si="3"/>
        <v>30</v>
      </c>
      <c r="G43" s="4">
        <f t="shared" si="4"/>
        <v>8</v>
      </c>
      <c r="H43" s="15" t="s">
        <v>16</v>
      </c>
      <c r="I43" s="2"/>
    </row>
    <row r="44" spans="1:9" ht="14.25" customHeight="1">
      <c r="A44" s="14"/>
      <c r="B44" s="20" t="str">
        <f t="shared" si="0"/>
        <v>Mi</v>
      </c>
      <c r="C44" s="5">
        <f t="shared" si="5"/>
        <v>46022</v>
      </c>
      <c r="D44" s="6">
        <f t="shared" si="1"/>
        <v>0.35416666666666669</v>
      </c>
      <c r="E44" s="6">
        <f t="shared" si="2"/>
        <v>0.70833333333333337</v>
      </c>
      <c r="F44" s="4">
        <f t="shared" si="3"/>
        <v>30</v>
      </c>
      <c r="G44" s="4">
        <f t="shared" si="4"/>
        <v>8</v>
      </c>
      <c r="H44" s="15" t="s">
        <v>16</v>
      </c>
      <c r="I44" s="2"/>
    </row>
    <row r="45" spans="1:9" ht="14.25" customHeight="1">
      <c r="A45" s="14"/>
      <c r="B45" s="75" t="str">
        <f t="shared" si="0"/>
        <v>Do</v>
      </c>
      <c r="C45" s="76">
        <f>C44+1</f>
        <v>46023</v>
      </c>
      <c r="D45" s="79">
        <f t="shared" si="1"/>
        <v>0.35416666666666669</v>
      </c>
      <c r="E45" s="79">
        <f t="shared" si="2"/>
        <v>0.70833333333333337</v>
      </c>
      <c r="F45" s="80">
        <f t="shared" si="3"/>
        <v>30</v>
      </c>
      <c r="G45" s="4">
        <f t="shared" si="4"/>
        <v>8</v>
      </c>
      <c r="H45" s="74"/>
      <c r="I45" s="2"/>
    </row>
    <row r="46" spans="1:9" ht="14.25" customHeight="1">
      <c r="A46" s="14"/>
      <c r="B46" s="71"/>
      <c r="C46" s="72"/>
      <c r="D46" s="73"/>
      <c r="E46" s="73"/>
      <c r="F46" s="14"/>
      <c r="G46" s="14"/>
      <c r="H46" s="74"/>
      <c r="I46" s="2"/>
    </row>
    <row r="47" spans="1:9" ht="14.25" customHeight="1">
      <c r="A47" s="1"/>
      <c r="B47" s="22" t="e" vm="4">
        <f>Eingabedaten!B18</f>
        <v>#VALUE!</v>
      </c>
      <c r="C47" s="22"/>
      <c r="D47" s="22"/>
      <c r="E47" s="1"/>
      <c r="F47" s="1"/>
      <c r="G47" s="1"/>
      <c r="H47" s="1"/>
      <c r="I47" s="2"/>
    </row>
    <row r="48" spans="1:9" ht="14.25" customHeight="1">
      <c r="A48" s="1"/>
      <c r="B48" s="22"/>
      <c r="C48" s="22"/>
      <c r="D48" s="22"/>
      <c r="E48" s="1"/>
      <c r="F48" s="22">
        <f>Eingabedaten!B22</f>
        <v>0</v>
      </c>
      <c r="G48" s="22"/>
      <c r="H48" s="22"/>
      <c r="I48" s="2"/>
    </row>
    <row r="49" spans="1:9" ht="14.25" customHeight="1">
      <c r="A49" s="1"/>
      <c r="B49" s="22"/>
      <c r="C49" s="22"/>
      <c r="D49" s="22"/>
      <c r="E49" s="14"/>
      <c r="F49" s="22"/>
      <c r="G49" s="22"/>
      <c r="H49" s="22"/>
    </row>
    <row r="50" spans="1:9" ht="14.25" customHeight="1" thickBot="1">
      <c r="A50" s="1"/>
      <c r="B50" s="25">
        <f>C44</f>
        <v>46022</v>
      </c>
      <c r="C50" s="26"/>
      <c r="D50" s="7"/>
      <c r="E50" s="1"/>
      <c r="F50" s="13">
        <f>B50</f>
        <v>46022</v>
      </c>
      <c r="G50" s="7"/>
      <c r="H50" s="7"/>
    </row>
    <row r="51" spans="1:9" ht="14.25" customHeight="1">
      <c r="A51" s="2"/>
      <c r="B51" s="27" t="s">
        <v>17</v>
      </c>
      <c r="C51" s="28"/>
      <c r="D51" s="29"/>
      <c r="E51" s="1"/>
      <c r="F51" s="27" t="s">
        <v>18</v>
      </c>
      <c r="G51" s="28"/>
      <c r="H51" s="29"/>
    </row>
    <row r="52" spans="1:9" ht="14.25" customHeight="1">
      <c r="A52" s="2"/>
    </row>
    <row r="53" spans="1:9" ht="14.25" customHeight="1">
      <c r="A53" s="2"/>
    </row>
    <row r="54" spans="1:9" ht="14.25" customHeight="1">
      <c r="A54" s="2"/>
      <c r="I54" s="2"/>
    </row>
    <row r="55" spans="1:9" ht="14.25" customHeight="1">
      <c r="A55" s="2"/>
      <c r="B55" s="2"/>
      <c r="C55" s="2"/>
      <c r="D55" s="2"/>
      <c r="E55" s="2"/>
      <c r="F55" s="2"/>
      <c r="G55" s="2"/>
      <c r="H55" s="2"/>
      <c r="I55" s="2"/>
    </row>
    <row r="56" spans="1:9" ht="14.25" customHeight="1">
      <c r="A56" s="2"/>
      <c r="B56" s="2"/>
      <c r="C56" s="2"/>
      <c r="D56" s="2"/>
      <c r="E56" s="2"/>
      <c r="F56" s="2"/>
      <c r="G56" s="2"/>
      <c r="H56" s="2"/>
      <c r="I56" s="2"/>
    </row>
    <row r="57" spans="1:9" ht="14.25" customHeight="1">
      <c r="A57" s="2"/>
      <c r="B57" s="2"/>
      <c r="C57" s="2"/>
      <c r="D57" s="2"/>
      <c r="E57" s="2"/>
      <c r="F57" s="2"/>
      <c r="G57" s="2"/>
      <c r="H57" s="2"/>
      <c r="I57" s="2"/>
    </row>
    <row r="58" spans="1:9" ht="14.25" customHeight="1">
      <c r="A58" s="2"/>
      <c r="B58" s="2"/>
      <c r="C58" s="2"/>
      <c r="D58" s="2"/>
      <c r="E58" s="2"/>
      <c r="F58" s="2"/>
      <c r="G58" s="2"/>
      <c r="H58" s="2"/>
      <c r="I58" s="2"/>
    </row>
    <row r="59" spans="1:9" ht="14.25" customHeight="1">
      <c r="A59" s="2"/>
      <c r="B59" s="2"/>
      <c r="C59" s="2"/>
      <c r="D59" s="2"/>
      <c r="E59" s="2"/>
      <c r="F59" s="2"/>
      <c r="G59" s="2"/>
      <c r="H59" s="2"/>
      <c r="I59" s="2"/>
    </row>
    <row r="60" spans="1:9" ht="14.25" customHeight="1">
      <c r="A60" s="2"/>
      <c r="B60" s="2"/>
      <c r="C60" s="2"/>
      <c r="D60" s="2"/>
      <c r="E60" s="2"/>
      <c r="F60" s="2"/>
      <c r="G60" s="2"/>
      <c r="H60" s="2"/>
      <c r="I60" s="2"/>
    </row>
    <row r="61" spans="1:9" ht="14.25" customHeight="1">
      <c r="A61" s="2"/>
      <c r="B61" s="2"/>
      <c r="C61" s="2"/>
      <c r="D61" s="2"/>
      <c r="E61" s="2"/>
      <c r="F61" s="2"/>
      <c r="G61" s="2"/>
      <c r="H61" s="2"/>
      <c r="I61" s="2"/>
    </row>
    <row r="62" spans="1:9" ht="14.25" customHeight="1">
      <c r="A62" s="2"/>
      <c r="B62" s="2"/>
      <c r="C62" s="2"/>
      <c r="D62" s="2"/>
      <c r="E62" s="2"/>
      <c r="F62" s="2"/>
      <c r="G62" s="2"/>
      <c r="H62" s="2"/>
      <c r="I62" s="2"/>
    </row>
    <row r="63" spans="1:9" ht="14.25" customHeight="1">
      <c r="A63" s="2"/>
      <c r="B63" s="2"/>
      <c r="C63" s="2"/>
      <c r="D63" s="2"/>
      <c r="E63" s="2"/>
      <c r="F63" s="2"/>
      <c r="G63" s="2"/>
      <c r="H63" s="2"/>
      <c r="I63" s="2"/>
    </row>
    <row r="64" spans="1:9" ht="14.25" customHeight="1">
      <c r="A64" s="2"/>
      <c r="B64" s="2"/>
      <c r="C64" s="2"/>
      <c r="D64" s="2"/>
      <c r="E64" s="2"/>
      <c r="F64" s="2"/>
      <c r="G64" s="2"/>
      <c r="H64" s="2"/>
      <c r="I64" s="2"/>
    </row>
    <row r="65" spans="1:9" ht="14.25" customHeight="1">
      <c r="A65" s="2"/>
      <c r="B65" s="2"/>
      <c r="C65" s="2"/>
      <c r="D65" s="2"/>
      <c r="E65" s="2"/>
      <c r="F65" s="2"/>
      <c r="G65" s="2"/>
      <c r="H65" s="2"/>
      <c r="I65" s="2"/>
    </row>
    <row r="66" spans="1:9" ht="14.25" customHeight="1">
      <c r="A66" s="2"/>
      <c r="B66" s="2"/>
      <c r="C66" s="2"/>
      <c r="D66" s="2"/>
      <c r="E66" s="2"/>
      <c r="F66" s="2"/>
      <c r="G66" s="2"/>
      <c r="H66" s="2"/>
      <c r="I66" s="2"/>
    </row>
    <row r="67" spans="1:9" ht="14.25" customHeight="1">
      <c r="A67" s="2"/>
      <c r="B67" s="2"/>
      <c r="C67" s="2"/>
      <c r="D67" s="2"/>
      <c r="E67" s="2"/>
      <c r="F67" s="2"/>
      <c r="G67" s="2"/>
      <c r="H67" s="2"/>
      <c r="I67" s="2"/>
    </row>
    <row r="68" spans="1:9" ht="14.25" customHeight="1">
      <c r="A68" s="2"/>
      <c r="B68" s="2"/>
      <c r="C68" s="2"/>
      <c r="D68" s="2"/>
      <c r="E68" s="2"/>
      <c r="F68" s="2"/>
      <c r="G68" s="2"/>
      <c r="H68" s="2"/>
      <c r="I68" s="2"/>
    </row>
    <row r="69" spans="1:9" ht="14.25" customHeight="1">
      <c r="A69" s="2"/>
      <c r="B69" s="2"/>
      <c r="C69" s="2"/>
      <c r="D69" s="2"/>
      <c r="E69" s="2"/>
      <c r="F69" s="2"/>
      <c r="G69" s="2"/>
      <c r="H69" s="2"/>
      <c r="I69" s="2"/>
    </row>
    <row r="70" spans="1:9" ht="14.25" customHeight="1">
      <c r="A70" s="2"/>
      <c r="B70" s="2"/>
      <c r="C70" s="2"/>
      <c r="D70" s="2"/>
      <c r="E70" s="2"/>
      <c r="F70" s="2"/>
      <c r="G70" s="2"/>
      <c r="H70" s="2"/>
      <c r="I70" s="2"/>
    </row>
    <row r="71" spans="1:9" ht="14.25" customHeight="1">
      <c r="A71" s="2"/>
      <c r="B71" s="2"/>
      <c r="C71" s="2"/>
      <c r="D71" s="2"/>
      <c r="E71" s="2"/>
      <c r="F71" s="2"/>
      <c r="G71" s="2"/>
      <c r="H71" s="2"/>
      <c r="I71" s="2"/>
    </row>
    <row r="72" spans="1:9" ht="14.25" customHeight="1">
      <c r="A72" s="2"/>
      <c r="B72" s="2"/>
      <c r="C72" s="2"/>
      <c r="D72" s="2"/>
      <c r="E72" s="2"/>
      <c r="F72" s="2"/>
      <c r="G72" s="2"/>
      <c r="H72" s="2"/>
      <c r="I72" s="2"/>
    </row>
    <row r="73" spans="1:9" ht="14.25" customHeight="1">
      <c r="A73" s="2"/>
      <c r="B73" s="2"/>
      <c r="C73" s="2"/>
      <c r="D73" s="2"/>
      <c r="E73" s="2"/>
      <c r="F73" s="2"/>
      <c r="G73" s="2"/>
      <c r="H73" s="2"/>
      <c r="I73" s="2"/>
    </row>
    <row r="74" spans="1:9" ht="14.25" customHeight="1">
      <c r="A74" s="2"/>
      <c r="B74" s="2"/>
      <c r="C74" s="2"/>
      <c r="D74" s="2"/>
      <c r="E74" s="2"/>
      <c r="F74" s="2"/>
      <c r="G74" s="2"/>
      <c r="H74" s="2"/>
      <c r="I74" s="2"/>
    </row>
    <row r="75" spans="1:9" ht="14.25" customHeight="1">
      <c r="A75" s="2"/>
      <c r="B75" s="2"/>
      <c r="C75" s="2"/>
      <c r="D75" s="2"/>
      <c r="E75" s="2"/>
      <c r="F75" s="2"/>
      <c r="G75" s="2"/>
      <c r="H75" s="2"/>
      <c r="I75" s="2"/>
    </row>
    <row r="76" spans="1:9" ht="14.25" customHeight="1">
      <c r="A76" s="2"/>
      <c r="B76" s="2"/>
      <c r="C76" s="2"/>
      <c r="D76" s="2"/>
      <c r="E76" s="2"/>
      <c r="F76" s="2"/>
      <c r="G76" s="2"/>
      <c r="H76" s="2"/>
      <c r="I76" s="2"/>
    </row>
    <row r="77" spans="1:9" ht="14.25" customHeight="1">
      <c r="A77" s="2"/>
      <c r="B77" s="2"/>
      <c r="C77" s="2"/>
      <c r="D77" s="2"/>
      <c r="E77" s="2"/>
      <c r="F77" s="2"/>
      <c r="G77" s="2"/>
      <c r="H77" s="2"/>
      <c r="I77" s="2"/>
    </row>
    <row r="78" spans="1:9" ht="14.25" customHeight="1">
      <c r="A78" s="2"/>
      <c r="B78" s="2"/>
      <c r="C78" s="2"/>
      <c r="D78" s="2"/>
      <c r="E78" s="2"/>
      <c r="F78" s="2"/>
      <c r="G78" s="2"/>
      <c r="H78" s="2"/>
      <c r="I78" s="2"/>
    </row>
    <row r="79" spans="1:9" ht="14.25" customHeight="1">
      <c r="A79" s="2"/>
      <c r="B79" s="2"/>
      <c r="C79" s="2"/>
      <c r="D79" s="2"/>
      <c r="E79" s="2"/>
      <c r="F79" s="2"/>
      <c r="G79" s="2"/>
      <c r="H79" s="2"/>
      <c r="I79" s="2"/>
    </row>
    <row r="80" spans="1:9" ht="14.25" customHeight="1">
      <c r="A80" s="2"/>
      <c r="B80" s="2"/>
      <c r="C80" s="2"/>
      <c r="D80" s="2"/>
      <c r="E80" s="2"/>
      <c r="F80" s="2"/>
      <c r="G80" s="2"/>
      <c r="H80" s="2"/>
      <c r="I80" s="2"/>
    </row>
    <row r="81" spans="1:9" ht="14.25" customHeight="1">
      <c r="A81" s="2"/>
      <c r="B81" s="2"/>
      <c r="C81" s="2"/>
      <c r="D81" s="2"/>
      <c r="E81" s="2"/>
      <c r="F81" s="2"/>
      <c r="G81" s="2"/>
      <c r="H81" s="2"/>
      <c r="I81" s="2"/>
    </row>
    <row r="82" spans="1:9" ht="14.25" customHeight="1">
      <c r="A82" s="2"/>
      <c r="B82" s="2"/>
      <c r="C82" s="2"/>
      <c r="D82" s="2"/>
      <c r="E82" s="2"/>
      <c r="F82" s="2"/>
      <c r="G82" s="2"/>
      <c r="H82" s="2"/>
      <c r="I82" s="2"/>
    </row>
    <row r="83" spans="1:9" ht="14.25" customHeight="1">
      <c r="A83" s="2"/>
      <c r="B83" s="2"/>
      <c r="C83" s="2"/>
      <c r="D83" s="2"/>
      <c r="E83" s="2"/>
      <c r="F83" s="2"/>
      <c r="G83" s="2"/>
      <c r="H83" s="2"/>
      <c r="I83" s="2"/>
    </row>
    <row r="84" spans="1:9" ht="14.25" customHeight="1">
      <c r="A84" s="2"/>
      <c r="B84" s="2"/>
      <c r="C84" s="2"/>
      <c r="D84" s="2"/>
      <c r="E84" s="2"/>
      <c r="F84" s="2"/>
      <c r="G84" s="2"/>
      <c r="H84" s="2"/>
      <c r="I84" s="2"/>
    </row>
    <row r="85" spans="1:9" ht="14.25" customHeight="1">
      <c r="A85" s="2"/>
      <c r="B85" s="2"/>
      <c r="C85" s="2"/>
      <c r="D85" s="2"/>
      <c r="E85" s="2"/>
      <c r="F85" s="2"/>
      <c r="G85" s="2"/>
      <c r="H85" s="2"/>
      <c r="I85" s="2"/>
    </row>
    <row r="86" spans="1:9" ht="14.25" customHeight="1">
      <c r="A86" s="2"/>
      <c r="B86" s="2"/>
      <c r="C86" s="2"/>
      <c r="D86" s="2"/>
      <c r="E86" s="2"/>
      <c r="F86" s="2"/>
      <c r="G86" s="2"/>
      <c r="H86" s="2"/>
      <c r="I86" s="2"/>
    </row>
    <row r="87" spans="1:9" ht="14.25" customHeight="1">
      <c r="A87" s="2"/>
      <c r="B87" s="2"/>
      <c r="C87" s="2"/>
      <c r="D87" s="2"/>
      <c r="E87" s="2"/>
      <c r="F87" s="2"/>
      <c r="G87" s="2"/>
      <c r="H87" s="2"/>
      <c r="I87" s="2"/>
    </row>
    <row r="88" spans="1:9" ht="14.25" customHeight="1">
      <c r="A88" s="2"/>
      <c r="B88" s="2"/>
      <c r="C88" s="2"/>
      <c r="D88" s="2"/>
      <c r="E88" s="2"/>
      <c r="F88" s="2"/>
      <c r="G88" s="2"/>
      <c r="H88" s="2"/>
      <c r="I88" s="2"/>
    </row>
    <row r="89" spans="1:9" ht="14.25" customHeight="1">
      <c r="A89" s="2"/>
      <c r="B89" s="2"/>
      <c r="C89" s="2"/>
      <c r="D89" s="2"/>
      <c r="E89" s="2"/>
      <c r="F89" s="2"/>
      <c r="G89" s="2"/>
      <c r="H89" s="2"/>
      <c r="I89" s="2"/>
    </row>
    <row r="90" spans="1:9" ht="14.25" customHeight="1">
      <c r="A90" s="2"/>
      <c r="B90" s="2"/>
      <c r="C90" s="2"/>
      <c r="D90" s="2"/>
      <c r="E90" s="2"/>
      <c r="F90" s="2"/>
      <c r="G90" s="2"/>
      <c r="H90" s="2"/>
      <c r="I90" s="2"/>
    </row>
    <row r="91" spans="1:9" ht="14.25" customHeight="1">
      <c r="A91" s="2"/>
      <c r="B91" s="2"/>
      <c r="C91" s="2"/>
      <c r="D91" s="2"/>
      <c r="E91" s="2"/>
      <c r="F91" s="2"/>
      <c r="G91" s="2"/>
      <c r="H91" s="2"/>
      <c r="I91" s="2"/>
    </row>
    <row r="92" spans="1:9" ht="14.25" customHeight="1">
      <c r="A92" s="2"/>
      <c r="B92" s="2"/>
      <c r="C92" s="2"/>
      <c r="D92" s="2"/>
      <c r="E92" s="2"/>
      <c r="F92" s="2"/>
      <c r="G92" s="2"/>
      <c r="H92" s="2"/>
      <c r="I92" s="2"/>
    </row>
    <row r="93" spans="1:9" ht="14.25" customHeight="1">
      <c r="A93" s="2"/>
      <c r="B93" s="2"/>
      <c r="C93" s="2"/>
      <c r="D93" s="2"/>
      <c r="E93" s="2"/>
      <c r="F93" s="2"/>
      <c r="G93" s="2"/>
      <c r="H93" s="2"/>
      <c r="I93" s="2"/>
    </row>
    <row r="94" spans="1:9" ht="14.25" customHeight="1">
      <c r="A94" s="2"/>
      <c r="B94" s="2"/>
      <c r="C94" s="2"/>
      <c r="D94" s="2"/>
      <c r="E94" s="2"/>
      <c r="F94" s="2"/>
      <c r="G94" s="2"/>
      <c r="H94" s="2"/>
      <c r="I94" s="2"/>
    </row>
    <row r="95" spans="1:9" ht="14.25" customHeight="1">
      <c r="A95" s="2"/>
      <c r="B95" s="2"/>
      <c r="C95" s="2"/>
      <c r="D95" s="2"/>
      <c r="E95" s="2"/>
      <c r="F95" s="2"/>
      <c r="G95" s="2"/>
      <c r="H95" s="2"/>
      <c r="I95" s="2"/>
    </row>
    <row r="96" spans="1:9" ht="14.25" customHeight="1">
      <c r="A96" s="2"/>
      <c r="B96" s="2"/>
      <c r="C96" s="2"/>
      <c r="D96" s="2"/>
      <c r="E96" s="2"/>
      <c r="F96" s="2"/>
      <c r="G96" s="2"/>
      <c r="H96" s="2"/>
      <c r="I96" s="2"/>
    </row>
    <row r="97" spans="1:9" ht="14.25" customHeight="1">
      <c r="A97" s="2"/>
      <c r="B97" s="2"/>
      <c r="C97" s="2"/>
      <c r="D97" s="2"/>
      <c r="E97" s="2"/>
      <c r="F97" s="2"/>
      <c r="G97" s="2"/>
      <c r="H97" s="2"/>
      <c r="I97" s="2"/>
    </row>
    <row r="98" spans="1:9" ht="14.25" customHeight="1">
      <c r="A98" s="2"/>
      <c r="B98" s="2"/>
      <c r="C98" s="2"/>
      <c r="D98" s="2"/>
      <c r="E98" s="2"/>
      <c r="F98" s="2"/>
      <c r="G98" s="2"/>
      <c r="H98" s="2"/>
      <c r="I98" s="2"/>
    </row>
    <row r="99" spans="1:9" ht="14.25" customHeight="1">
      <c r="A99" s="2"/>
      <c r="B99" s="2"/>
      <c r="C99" s="2"/>
      <c r="D99" s="2"/>
      <c r="E99" s="2"/>
      <c r="F99" s="2"/>
      <c r="G99" s="2"/>
      <c r="H99" s="2"/>
      <c r="I99" s="2"/>
    </row>
    <row r="100" spans="1:9" ht="14.25" customHeight="1">
      <c r="A100" s="2"/>
      <c r="B100" s="2"/>
      <c r="C100" s="2"/>
      <c r="D100" s="2"/>
      <c r="E100" s="2"/>
      <c r="F100" s="2"/>
      <c r="G100" s="2"/>
      <c r="H100" s="2"/>
      <c r="I100" s="2"/>
    </row>
    <row r="101" spans="1:9" ht="14.25" customHeight="1">
      <c r="A101" s="2"/>
      <c r="B101" s="2"/>
      <c r="C101" s="2"/>
      <c r="D101" s="2"/>
      <c r="E101" s="2"/>
      <c r="F101" s="2"/>
      <c r="G101" s="2"/>
      <c r="H101" s="2"/>
      <c r="I101" s="2"/>
    </row>
    <row r="102" spans="1:9" ht="14.25" customHeight="1">
      <c r="A102" s="2"/>
      <c r="B102" s="2"/>
      <c r="C102" s="2"/>
      <c r="D102" s="2"/>
      <c r="E102" s="2"/>
      <c r="F102" s="2"/>
      <c r="G102" s="2"/>
      <c r="H102" s="2"/>
      <c r="I102" s="2"/>
    </row>
    <row r="103" spans="1:9" ht="14.25" customHeight="1">
      <c r="A103" s="2"/>
      <c r="B103" s="2"/>
      <c r="C103" s="2"/>
      <c r="D103" s="2"/>
      <c r="E103" s="2"/>
      <c r="F103" s="2"/>
      <c r="G103" s="2"/>
      <c r="H103" s="2"/>
      <c r="I103" s="2"/>
    </row>
  </sheetData>
  <mergeCells count="14">
    <mergeCell ref="B51:D51"/>
    <mergeCell ref="F51:H51"/>
    <mergeCell ref="B9:D10"/>
    <mergeCell ref="F9:H10"/>
    <mergeCell ref="D13:E13"/>
    <mergeCell ref="B47:D49"/>
    <mergeCell ref="F48:H49"/>
    <mergeCell ref="B50:C50"/>
    <mergeCell ref="B2:D2"/>
    <mergeCell ref="B3:D3"/>
    <mergeCell ref="F3:H5"/>
    <mergeCell ref="B4:D4"/>
    <mergeCell ref="B5:D5"/>
    <mergeCell ref="B7:D8"/>
  </mergeCells>
  <conditionalFormatting sqref="F48:H49">
    <cfRule type="cellIs" dxfId="3" priority="3" operator="equal">
      <formula>0</formula>
    </cfRule>
  </conditionalFormatting>
  <conditionalFormatting sqref="D14:H44">
    <cfRule type="cellIs" dxfId="2" priority="1" operator="equal">
      <formula>""</formula>
    </cfRule>
    <cfRule type="cellIs" dxfId="1" priority="2" operator="notEqual">
      <formula>""</formula>
    </cfRule>
  </conditionalFormatting>
  <pageMargins left="0.7" right="0.7" top="0.78740157499999996" bottom="0.78740157499999996" header="0" footer="0"/>
  <pageSetup paperSize="9" scale="98" fitToWidth="0" fitToHeight="0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28A40F-C6BB-42B0-8A98-BF77823F59B5}">
  <dimension ref="A1:I102"/>
  <sheetViews>
    <sheetView workbookViewId="0">
      <selection activeCell="C13" sqref="C13"/>
    </sheetView>
  </sheetViews>
  <sheetFormatPr baseColWidth="10" defaultColWidth="14.44140625" defaultRowHeight="15" customHeight="1"/>
  <cols>
    <col min="1" max="1" width="11" customWidth="1"/>
    <col min="2" max="2" width="3.44140625" customWidth="1"/>
    <col min="3" max="3" width="10.109375" bestFit="1" customWidth="1"/>
    <col min="4" max="5" width="10.5546875" customWidth="1"/>
    <col min="6" max="6" width="11.44140625" customWidth="1"/>
    <col min="7" max="7" width="10.88671875" bestFit="1" customWidth="1"/>
    <col min="8" max="8" width="9.88671875" customWidth="1"/>
    <col min="9" max="11" width="10.6640625" customWidth="1"/>
  </cols>
  <sheetData>
    <row r="1" spans="1:9" ht="14.25" customHeight="1">
      <c r="A1" s="1"/>
      <c r="B1" s="1"/>
      <c r="C1" s="1"/>
      <c r="D1" s="1"/>
      <c r="E1" s="1"/>
      <c r="F1" s="1"/>
      <c r="G1" s="1"/>
      <c r="H1" s="1"/>
      <c r="I1" s="2"/>
    </row>
    <row r="2" spans="1:9" ht="14.25" customHeight="1">
      <c r="A2" s="1"/>
      <c r="B2" s="1"/>
      <c r="C2" s="1"/>
      <c r="D2" s="1"/>
      <c r="E2" s="1"/>
      <c r="F2" s="1"/>
      <c r="G2" s="1"/>
      <c r="H2" s="1"/>
      <c r="I2" s="2"/>
    </row>
    <row r="3" spans="1:9" ht="14.25" customHeight="1">
      <c r="A3" s="1"/>
      <c r="B3" s="55" t="s">
        <v>0</v>
      </c>
      <c r="C3" s="28"/>
      <c r="D3" s="29"/>
      <c r="E3" s="1"/>
      <c r="F3" s="1"/>
      <c r="G3" s="1"/>
      <c r="H3" s="1"/>
      <c r="I3" s="2"/>
    </row>
    <row r="4" spans="1:9" ht="14.25" customHeight="1">
      <c r="A4" s="1"/>
      <c r="B4" s="30" t="s">
        <v>19</v>
      </c>
      <c r="C4" s="31"/>
      <c r="D4" s="32"/>
      <c r="E4" s="1"/>
      <c r="F4" s="33" t="e" vm="3">
        <f>Eingabedaten!B14</f>
        <v>#VALUE!</v>
      </c>
      <c r="G4" s="34"/>
      <c r="H4" s="35"/>
      <c r="I4" s="2"/>
    </row>
    <row r="5" spans="1:9" ht="14.25" customHeight="1">
      <c r="A5" s="1"/>
      <c r="B5" s="42" t="s">
        <v>20</v>
      </c>
      <c r="C5" s="28"/>
      <c r="D5" s="43"/>
      <c r="E5" s="1"/>
      <c r="F5" s="36"/>
      <c r="G5" s="37"/>
      <c r="H5" s="38"/>
      <c r="I5" s="2"/>
    </row>
    <row r="6" spans="1:9" ht="14.25" customHeight="1">
      <c r="A6" s="1"/>
      <c r="B6" s="44" t="s">
        <v>21</v>
      </c>
      <c r="C6" s="45"/>
      <c r="D6" s="46"/>
      <c r="E6" s="1"/>
      <c r="F6" s="39"/>
      <c r="G6" s="40"/>
      <c r="H6" s="41"/>
      <c r="I6" s="2"/>
    </row>
    <row r="7" spans="1:9" ht="14.25" customHeight="1">
      <c r="A7" s="1"/>
      <c r="B7" s="1"/>
      <c r="C7" s="1"/>
      <c r="D7" s="1"/>
      <c r="E7" s="1"/>
      <c r="F7" s="1"/>
      <c r="G7" s="1"/>
      <c r="H7" s="1"/>
      <c r="I7" s="2"/>
    </row>
    <row r="8" spans="1:9" ht="14.25" customHeight="1" thickBot="1">
      <c r="A8" s="1"/>
      <c r="B8" s="47" t="s">
        <v>1</v>
      </c>
      <c r="C8" s="34"/>
      <c r="D8" s="35"/>
      <c r="E8" s="1"/>
      <c r="F8" s="51" t="str">
        <f>Eingabedaten!C4 &amp; ", " &amp; Eingabedaten!C3</f>
        <v>Sternicki, Michael</v>
      </c>
      <c r="G8" s="52"/>
      <c r="H8" s="53"/>
      <c r="I8" s="2"/>
    </row>
    <row r="9" spans="1:9" ht="14.25" customHeight="1" thickBot="1">
      <c r="A9" s="1"/>
      <c r="B9" s="48"/>
      <c r="C9" s="49"/>
      <c r="D9" s="50"/>
      <c r="E9" s="1"/>
      <c r="F9" s="27" t="s">
        <v>2</v>
      </c>
      <c r="G9" s="28"/>
      <c r="H9" s="29"/>
      <c r="I9" s="2"/>
    </row>
    <row r="10" spans="1:9" ht="14.25" customHeight="1">
      <c r="A10" s="1"/>
      <c r="B10" s="1"/>
      <c r="C10" s="1"/>
      <c r="D10" s="1"/>
      <c r="E10" s="1"/>
      <c r="F10" s="1"/>
      <c r="G10" s="1"/>
      <c r="H10" s="1"/>
      <c r="I10" s="2"/>
    </row>
    <row r="11" spans="1:9" ht="14.25" customHeight="1">
      <c r="A11" s="1"/>
      <c r="B11" s="3" t="s">
        <v>3</v>
      </c>
      <c r="C11" s="4">
        <v>40</v>
      </c>
      <c r="D11" s="1"/>
      <c r="E11" s="1"/>
      <c r="F11" s="1"/>
      <c r="G11" s="1"/>
      <c r="H11" s="1"/>
      <c r="I11" s="2"/>
    </row>
    <row r="12" spans="1:9" ht="14.25" customHeight="1">
      <c r="A12" s="1"/>
      <c r="B12" s="3" t="s">
        <v>4</v>
      </c>
      <c r="C12" s="3" t="s">
        <v>5</v>
      </c>
      <c r="D12" s="23" t="s">
        <v>6</v>
      </c>
      <c r="E12" s="24"/>
      <c r="F12" s="3" t="s">
        <v>7</v>
      </c>
      <c r="G12" s="3" t="s">
        <v>8</v>
      </c>
      <c r="H12" s="3" t="s">
        <v>9</v>
      </c>
      <c r="I12" s="2"/>
    </row>
    <row r="13" spans="1:9" ht="14.25" customHeight="1">
      <c r="A13" s="1"/>
      <c r="B13" s="3" t="s">
        <v>10</v>
      </c>
      <c r="C13" s="5">
        <f>DATE(Eingabedaten!C5,1,1) + (C11-1)*7 + 1 - WEEKDAY(DATE(Eingabedaten!C5,1,1)-1)</f>
        <v>45929</v>
      </c>
      <c r="D13" s="6">
        <v>0.35416666666666669</v>
      </c>
      <c r="E13" s="6">
        <v>0.70833333333333337</v>
      </c>
      <c r="F13" s="4">
        <v>30</v>
      </c>
      <c r="G13" s="4">
        <f>(E13-D13)*24-F13/60</f>
        <v>8</v>
      </c>
      <c r="H13" s="15" t="s">
        <v>16</v>
      </c>
      <c r="I13" s="2"/>
    </row>
    <row r="14" spans="1:9" ht="14.25" customHeight="1">
      <c r="A14" s="1"/>
      <c r="B14" s="3" t="s">
        <v>11</v>
      </c>
      <c r="C14" s="5">
        <f>C13+1</f>
        <v>45930</v>
      </c>
      <c r="D14" s="6">
        <f>D13</f>
        <v>0.35416666666666669</v>
      </c>
      <c r="E14" s="6">
        <f>E13</f>
        <v>0.70833333333333337</v>
      </c>
      <c r="F14" s="4">
        <f>F13</f>
        <v>30</v>
      </c>
      <c r="G14" s="4">
        <f t="shared" ref="G14:G17" si="0">(E14-D14)*24-F14/60</f>
        <v>8</v>
      </c>
      <c r="H14" s="15" t="s">
        <v>16</v>
      </c>
      <c r="I14" s="2"/>
    </row>
    <row r="15" spans="1:9" ht="14.25" customHeight="1">
      <c r="A15" s="1"/>
      <c r="B15" s="3" t="s">
        <v>12</v>
      </c>
      <c r="C15" s="5">
        <f t="shared" ref="C15:C18" si="1">C14+1</f>
        <v>45931</v>
      </c>
      <c r="D15" s="6">
        <f t="shared" ref="D15:D17" si="2">D14</f>
        <v>0.35416666666666669</v>
      </c>
      <c r="E15" s="6">
        <f t="shared" ref="E15:E17" si="3">E14</f>
        <v>0.70833333333333337</v>
      </c>
      <c r="F15" s="4">
        <f t="shared" ref="F15:F17" si="4">F14</f>
        <v>30</v>
      </c>
      <c r="G15" s="4">
        <f t="shared" si="0"/>
        <v>8</v>
      </c>
      <c r="H15" s="15" t="s">
        <v>16</v>
      </c>
      <c r="I15" s="2"/>
    </row>
    <row r="16" spans="1:9" ht="14.25" customHeight="1">
      <c r="A16" s="1"/>
      <c r="B16" s="3" t="s">
        <v>13</v>
      </c>
      <c r="C16" s="5">
        <f t="shared" si="1"/>
        <v>45932</v>
      </c>
      <c r="D16" s="6">
        <f t="shared" si="2"/>
        <v>0.35416666666666669</v>
      </c>
      <c r="E16" s="6">
        <f t="shared" si="3"/>
        <v>0.70833333333333337</v>
      </c>
      <c r="F16" s="4">
        <f t="shared" si="4"/>
        <v>30</v>
      </c>
      <c r="G16" s="4">
        <f t="shared" si="0"/>
        <v>8</v>
      </c>
      <c r="H16" s="15" t="s">
        <v>16</v>
      </c>
      <c r="I16" s="2"/>
    </row>
    <row r="17" spans="1:9" ht="14.25" customHeight="1">
      <c r="A17" s="1"/>
      <c r="B17" s="3" t="s">
        <v>14</v>
      </c>
      <c r="C17" s="5">
        <f t="shared" si="1"/>
        <v>45933</v>
      </c>
      <c r="D17" s="6">
        <f t="shared" si="2"/>
        <v>0.35416666666666669</v>
      </c>
      <c r="E17" s="6">
        <f t="shared" si="3"/>
        <v>0.70833333333333337</v>
      </c>
      <c r="F17" s="4">
        <f t="shared" si="4"/>
        <v>30</v>
      </c>
      <c r="G17" s="4">
        <f t="shared" si="0"/>
        <v>8</v>
      </c>
      <c r="H17" s="15" t="s">
        <v>16</v>
      </c>
      <c r="I17" s="2"/>
    </row>
    <row r="18" spans="1:9" ht="14.25" customHeight="1">
      <c r="A18" s="1"/>
      <c r="B18" s="3" t="s">
        <v>15</v>
      </c>
      <c r="C18" s="5">
        <f t="shared" si="1"/>
        <v>45934</v>
      </c>
      <c r="D18" s="4" t="s">
        <v>16</v>
      </c>
      <c r="E18" s="4" t="s">
        <v>16</v>
      </c>
      <c r="F18" s="4" t="s">
        <v>16</v>
      </c>
      <c r="G18" s="4" t="s">
        <v>16</v>
      </c>
      <c r="H18" s="4" t="s">
        <v>16</v>
      </c>
      <c r="I18" s="2"/>
    </row>
    <row r="19" spans="1:9" ht="14.25" customHeight="1">
      <c r="A19" s="1"/>
      <c r="B19" s="1"/>
      <c r="C19" s="1"/>
      <c r="D19" s="1"/>
      <c r="E19" s="1"/>
      <c r="F19" s="1"/>
      <c r="G19" s="4">
        <f>SUM(G13:G18)</f>
        <v>40</v>
      </c>
      <c r="H19" s="1"/>
      <c r="I19" s="2"/>
    </row>
    <row r="20" spans="1:9" ht="14.25" customHeight="1">
      <c r="A20" s="1"/>
      <c r="B20" s="54" t="e" vm="4">
        <f>Eingabedaten!B18</f>
        <v>#VALUE!</v>
      </c>
      <c r="C20" s="54"/>
      <c r="D20" s="54"/>
      <c r="E20" s="1"/>
      <c r="F20" s="1"/>
      <c r="G20" s="1"/>
      <c r="H20" s="1"/>
      <c r="I20" s="2"/>
    </row>
    <row r="21" spans="1:9" ht="14.25" customHeight="1">
      <c r="A21" s="1"/>
      <c r="B21" s="54"/>
      <c r="C21" s="54"/>
      <c r="D21" s="54"/>
      <c r="E21" s="1"/>
      <c r="F21" s="22">
        <f>Eingabedaten!B22</f>
        <v>0</v>
      </c>
      <c r="G21" s="22"/>
      <c r="H21" s="22"/>
      <c r="I21" s="2"/>
    </row>
    <row r="22" spans="1:9" ht="14.25" customHeight="1">
      <c r="A22" s="14"/>
      <c r="B22" s="54"/>
      <c r="C22" s="54"/>
      <c r="D22" s="54"/>
      <c r="E22" s="14"/>
      <c r="F22" s="22"/>
      <c r="G22" s="22"/>
      <c r="H22" s="22"/>
      <c r="I22" s="2"/>
    </row>
    <row r="23" spans="1:9" ht="14.25" customHeight="1" thickBot="1">
      <c r="A23" s="1"/>
      <c r="B23" s="25">
        <f>C17</f>
        <v>45933</v>
      </c>
      <c r="C23" s="25"/>
      <c r="D23" s="7"/>
      <c r="E23" s="1"/>
      <c r="F23" s="13">
        <f>C17</f>
        <v>45933</v>
      </c>
      <c r="G23" s="7"/>
      <c r="H23" s="7"/>
      <c r="I23" s="2"/>
    </row>
    <row r="24" spans="1:9" ht="14.25" customHeight="1">
      <c r="A24" s="1"/>
      <c r="B24" s="27" t="s">
        <v>17</v>
      </c>
      <c r="C24" s="28"/>
      <c r="D24" s="29"/>
      <c r="E24" s="1"/>
      <c r="F24" s="27" t="s">
        <v>18</v>
      </c>
      <c r="G24" s="28"/>
      <c r="H24" s="29"/>
      <c r="I24" s="2"/>
    </row>
    <row r="25" spans="1:9" ht="14.25" customHeight="1">
      <c r="A25" s="1"/>
      <c r="B25" s="8"/>
      <c r="C25" s="8"/>
      <c r="D25" s="8"/>
      <c r="E25" s="1"/>
      <c r="F25" s="8"/>
      <c r="G25" s="8"/>
      <c r="H25" s="8"/>
      <c r="I25" s="2"/>
    </row>
    <row r="26" spans="1:9" ht="14.25" customHeight="1">
      <c r="A26" s="1"/>
      <c r="B26" s="55" t="s">
        <v>0</v>
      </c>
      <c r="C26" s="28"/>
      <c r="D26" s="29"/>
      <c r="E26" s="1"/>
      <c r="F26" s="1"/>
      <c r="G26" s="1"/>
      <c r="H26" s="1"/>
      <c r="I26" s="2"/>
    </row>
    <row r="27" spans="1:9" ht="14.25" customHeight="1">
      <c r="A27" s="1"/>
      <c r="B27" s="30" t="str">
        <f>B4</f>
        <v>Echoscout GmbH</v>
      </c>
      <c r="C27" s="31"/>
      <c r="D27" s="32"/>
      <c r="E27" s="1"/>
      <c r="F27" s="33" t="e" vm="3">
        <f>F4</f>
        <v>#VALUE!</v>
      </c>
      <c r="G27" s="34"/>
      <c r="H27" s="35"/>
      <c r="I27" s="2"/>
    </row>
    <row r="28" spans="1:9" ht="14.25" customHeight="1">
      <c r="A28" s="1"/>
      <c r="B28" s="42" t="str">
        <f>B5</f>
        <v>Maria-Goeppert-Str. 3</v>
      </c>
      <c r="C28" s="28"/>
      <c r="D28" s="43"/>
      <c r="E28" s="1"/>
      <c r="F28" s="36"/>
      <c r="G28" s="37"/>
      <c r="H28" s="38"/>
      <c r="I28" s="2"/>
    </row>
    <row r="29" spans="1:9" ht="14.25" customHeight="1">
      <c r="A29" s="1"/>
      <c r="B29" s="44" t="str">
        <f>B6</f>
        <v>23562 Lübeck</v>
      </c>
      <c r="C29" s="45"/>
      <c r="D29" s="46"/>
      <c r="E29" s="1"/>
      <c r="F29" s="39"/>
      <c r="G29" s="40"/>
      <c r="H29" s="41"/>
      <c r="I29" s="2"/>
    </row>
    <row r="30" spans="1:9" ht="14.25" customHeight="1">
      <c r="A30" s="1"/>
      <c r="B30" s="1"/>
      <c r="C30" s="1"/>
      <c r="D30" s="1"/>
      <c r="E30" s="1"/>
      <c r="F30" s="1"/>
      <c r="G30" s="1"/>
      <c r="H30" s="1"/>
      <c r="I30" s="2"/>
    </row>
    <row r="31" spans="1:9" ht="14.25" customHeight="1" thickBot="1">
      <c r="A31" s="1"/>
      <c r="B31" s="47" t="s">
        <v>1</v>
      </c>
      <c r="C31" s="34"/>
      <c r="D31" s="35"/>
      <c r="E31" s="1"/>
      <c r="F31" s="51" t="str">
        <f>F8</f>
        <v>Sternicki, Michael</v>
      </c>
      <c r="G31" s="52"/>
      <c r="H31" s="53"/>
      <c r="I31" s="2"/>
    </row>
    <row r="32" spans="1:9" ht="14.25" customHeight="1" thickBot="1">
      <c r="A32" s="1"/>
      <c r="B32" s="48"/>
      <c r="C32" s="49"/>
      <c r="D32" s="50"/>
      <c r="E32" s="1"/>
      <c r="F32" s="27" t="s">
        <v>2</v>
      </c>
      <c r="G32" s="28"/>
      <c r="H32" s="29"/>
      <c r="I32" s="2"/>
    </row>
    <row r="33" spans="1:9" ht="14.25" customHeight="1">
      <c r="A33" s="1"/>
      <c r="B33" s="1"/>
      <c r="C33" s="1"/>
      <c r="D33" s="1"/>
      <c r="E33" s="1"/>
      <c r="F33" s="1"/>
      <c r="G33" s="1"/>
      <c r="H33" s="1"/>
      <c r="I33" s="2"/>
    </row>
    <row r="34" spans="1:9" ht="14.25" customHeight="1">
      <c r="A34" s="1"/>
      <c r="B34" s="3" t="s">
        <v>3</v>
      </c>
      <c r="C34" s="4">
        <f>C11+1</f>
        <v>41</v>
      </c>
      <c r="D34" s="1"/>
      <c r="E34" s="1"/>
      <c r="F34" s="1"/>
      <c r="G34" s="1"/>
      <c r="H34" s="1"/>
      <c r="I34" s="2"/>
    </row>
    <row r="35" spans="1:9" ht="14.25" customHeight="1">
      <c r="A35" s="1"/>
      <c r="B35" s="3" t="s">
        <v>4</v>
      </c>
      <c r="C35" s="3" t="s">
        <v>5</v>
      </c>
      <c r="D35" s="23" t="s">
        <v>6</v>
      </c>
      <c r="E35" s="24"/>
      <c r="F35" s="3" t="s">
        <v>7</v>
      </c>
      <c r="G35" s="3" t="s">
        <v>8</v>
      </c>
      <c r="H35" s="3" t="s">
        <v>9</v>
      </c>
      <c r="I35" s="2"/>
    </row>
    <row r="36" spans="1:9" ht="14.25" customHeight="1">
      <c r="A36" s="1"/>
      <c r="B36" s="3" t="s">
        <v>10</v>
      </c>
      <c r="C36" s="5">
        <f>DATE(Eingabedaten!C5,1,1) + (C34-1)*7 + 1 - WEEKDAY(DATE(Eingabedaten!C5,1,1)-1)</f>
        <v>45936</v>
      </c>
      <c r="D36" s="12">
        <v>0.35416666666666669</v>
      </c>
      <c r="E36" s="12">
        <v>0.70833333333333337</v>
      </c>
      <c r="F36" s="4">
        <v>30</v>
      </c>
      <c r="G36" s="4">
        <f>(E36-D36)*24-F36/60</f>
        <v>8</v>
      </c>
      <c r="H36" s="4" t="s">
        <v>16</v>
      </c>
      <c r="I36" s="2"/>
    </row>
    <row r="37" spans="1:9" ht="14.25" customHeight="1">
      <c r="A37" s="1"/>
      <c r="B37" s="3" t="s">
        <v>11</v>
      </c>
      <c r="C37" s="5">
        <f>C36+1</f>
        <v>45937</v>
      </c>
      <c r="D37" s="12">
        <f>D36</f>
        <v>0.35416666666666669</v>
      </c>
      <c r="E37" s="12">
        <f>E36</f>
        <v>0.70833333333333337</v>
      </c>
      <c r="F37" s="4">
        <f>F36</f>
        <v>30</v>
      </c>
      <c r="G37" s="4">
        <f t="shared" ref="G37:G40" si="5">(E37-D37)*24-F37/60</f>
        <v>8</v>
      </c>
      <c r="H37" s="4" t="s">
        <v>16</v>
      </c>
      <c r="I37" s="2"/>
    </row>
    <row r="38" spans="1:9" ht="14.25" customHeight="1">
      <c r="A38" s="1"/>
      <c r="B38" s="3" t="s">
        <v>12</v>
      </c>
      <c r="C38" s="5">
        <f t="shared" ref="C38:C41" si="6">C37+1</f>
        <v>45938</v>
      </c>
      <c r="D38" s="12">
        <f t="shared" ref="D38:F40" si="7">D37</f>
        <v>0.35416666666666669</v>
      </c>
      <c r="E38" s="12">
        <f t="shared" si="7"/>
        <v>0.70833333333333337</v>
      </c>
      <c r="F38" s="4">
        <f t="shared" si="7"/>
        <v>30</v>
      </c>
      <c r="G38" s="4">
        <f t="shared" si="5"/>
        <v>8</v>
      </c>
      <c r="H38" s="4" t="s">
        <v>16</v>
      </c>
      <c r="I38" s="2"/>
    </row>
    <row r="39" spans="1:9" ht="14.25" customHeight="1">
      <c r="A39" s="1"/>
      <c r="B39" s="3" t="s">
        <v>13</v>
      </c>
      <c r="C39" s="5">
        <f t="shared" si="6"/>
        <v>45939</v>
      </c>
      <c r="D39" s="12">
        <f t="shared" si="7"/>
        <v>0.35416666666666669</v>
      </c>
      <c r="E39" s="12">
        <f t="shared" si="7"/>
        <v>0.70833333333333337</v>
      </c>
      <c r="F39" s="4">
        <f t="shared" si="7"/>
        <v>30</v>
      </c>
      <c r="G39" s="4">
        <f t="shared" si="5"/>
        <v>8</v>
      </c>
      <c r="H39" s="4" t="s">
        <v>16</v>
      </c>
      <c r="I39" s="2"/>
    </row>
    <row r="40" spans="1:9" ht="14.25" customHeight="1">
      <c r="A40" s="1"/>
      <c r="B40" s="3" t="s">
        <v>14</v>
      </c>
      <c r="C40" s="5">
        <f t="shared" si="6"/>
        <v>45940</v>
      </c>
      <c r="D40" s="12">
        <f t="shared" si="7"/>
        <v>0.35416666666666669</v>
      </c>
      <c r="E40" s="12">
        <f t="shared" si="7"/>
        <v>0.70833333333333337</v>
      </c>
      <c r="F40" s="4">
        <f t="shared" si="7"/>
        <v>30</v>
      </c>
      <c r="G40" s="4">
        <f t="shared" si="5"/>
        <v>8</v>
      </c>
      <c r="H40" s="4" t="s">
        <v>16</v>
      </c>
      <c r="I40" s="2"/>
    </row>
    <row r="41" spans="1:9" ht="14.25" customHeight="1">
      <c r="A41" s="1"/>
      <c r="B41" s="3" t="s">
        <v>15</v>
      </c>
      <c r="C41" s="5">
        <f t="shared" si="6"/>
        <v>45941</v>
      </c>
      <c r="D41" s="4" t="s">
        <v>16</v>
      </c>
      <c r="E41" s="4" t="s">
        <v>16</v>
      </c>
      <c r="F41" s="4" t="s">
        <v>16</v>
      </c>
      <c r="G41" s="4" t="s">
        <v>16</v>
      </c>
      <c r="H41" s="4" t="s">
        <v>16</v>
      </c>
      <c r="I41" s="2"/>
    </row>
    <row r="42" spans="1:9" ht="14.25" customHeight="1">
      <c r="A42" s="1"/>
      <c r="B42" s="1"/>
      <c r="C42" s="1"/>
      <c r="D42" s="1"/>
      <c r="E42" s="1"/>
      <c r="F42" s="1"/>
      <c r="G42" s="4">
        <f>SUM(G36:G40)</f>
        <v>40</v>
      </c>
      <c r="H42" s="1"/>
      <c r="I42" s="2"/>
    </row>
    <row r="43" spans="1:9" ht="14.25" customHeight="1">
      <c r="A43" s="1"/>
      <c r="B43" s="22" t="e" vm="4">
        <f>Eingabedaten!B18</f>
        <v>#VALUE!</v>
      </c>
      <c r="C43" s="22"/>
      <c r="D43" s="22"/>
      <c r="E43" s="1"/>
      <c r="F43" s="1"/>
      <c r="G43" s="1"/>
      <c r="H43" s="1"/>
      <c r="I43" s="2"/>
    </row>
    <row r="44" spans="1:9" ht="14.25" customHeight="1">
      <c r="A44" s="1"/>
      <c r="B44" s="22"/>
      <c r="C44" s="22"/>
      <c r="D44" s="22"/>
      <c r="E44" s="1"/>
      <c r="F44" s="22">
        <f>Eingabedaten!B22</f>
        <v>0</v>
      </c>
      <c r="G44" s="22"/>
      <c r="H44" s="22"/>
      <c r="I44" s="2"/>
    </row>
    <row r="45" spans="1:9" ht="14.25" customHeight="1">
      <c r="A45" s="14"/>
      <c r="B45" s="22"/>
      <c r="C45" s="22"/>
      <c r="D45" s="22"/>
      <c r="E45" s="14"/>
      <c r="F45" s="22"/>
      <c r="G45" s="22"/>
      <c r="H45" s="22"/>
      <c r="I45" s="2"/>
    </row>
    <row r="46" spans="1:9" ht="14.25" customHeight="1" thickBot="1">
      <c r="A46" s="1"/>
      <c r="B46" s="25">
        <f>C40</f>
        <v>45940</v>
      </c>
      <c r="C46" s="26"/>
      <c r="D46" s="7"/>
      <c r="E46" s="1"/>
      <c r="F46" s="13">
        <f>C40</f>
        <v>45940</v>
      </c>
      <c r="G46" s="7"/>
      <c r="H46" s="7"/>
      <c r="I46" s="2"/>
    </row>
    <row r="47" spans="1:9" ht="14.25" customHeight="1">
      <c r="A47" s="1"/>
      <c r="B47" s="27" t="s">
        <v>17</v>
      </c>
      <c r="C47" s="28"/>
      <c r="D47" s="29"/>
      <c r="E47" s="1"/>
      <c r="F47" s="27" t="s">
        <v>18</v>
      </c>
      <c r="G47" s="28"/>
      <c r="H47" s="29"/>
      <c r="I47" s="2"/>
    </row>
    <row r="48" spans="1:9" ht="14.25" customHeight="1">
      <c r="A48" s="1"/>
      <c r="B48" s="1"/>
      <c r="C48" s="1"/>
      <c r="D48" s="1"/>
      <c r="E48" s="1"/>
      <c r="F48" s="1"/>
      <c r="G48" s="1"/>
      <c r="H48" s="1"/>
      <c r="I48" s="2"/>
    </row>
    <row r="49" spans="1:9" ht="14.25" customHeight="1">
      <c r="A49" s="1"/>
      <c r="B49" s="1"/>
      <c r="C49" s="1"/>
      <c r="D49" s="1"/>
      <c r="E49" s="1"/>
      <c r="F49" s="1"/>
      <c r="G49" s="1"/>
      <c r="H49" s="1"/>
      <c r="I49" s="2"/>
    </row>
    <row r="50" spans="1:9" ht="14.25" customHeight="1">
      <c r="A50" s="2"/>
      <c r="B50" s="2"/>
      <c r="C50" s="2"/>
      <c r="D50" s="2"/>
      <c r="E50" s="2"/>
      <c r="F50" s="2"/>
      <c r="G50" s="2"/>
      <c r="H50" s="2"/>
      <c r="I50" s="2"/>
    </row>
    <row r="51" spans="1:9" ht="14.25" customHeight="1">
      <c r="A51" s="2"/>
      <c r="B51" s="2"/>
      <c r="C51" s="2"/>
      <c r="D51" s="2"/>
      <c r="E51" s="2"/>
      <c r="F51" s="2"/>
      <c r="G51" s="2"/>
      <c r="H51" s="2"/>
      <c r="I51" s="2"/>
    </row>
    <row r="52" spans="1:9" ht="14.25" customHeight="1">
      <c r="A52" s="2"/>
      <c r="B52" s="2"/>
      <c r="C52" s="2"/>
      <c r="D52" s="2"/>
      <c r="E52" s="2"/>
      <c r="F52" s="2"/>
      <c r="G52" s="2"/>
      <c r="H52" s="2"/>
      <c r="I52" s="2"/>
    </row>
    <row r="53" spans="1:9" ht="14.25" customHeight="1">
      <c r="A53" s="2"/>
      <c r="B53" s="2"/>
      <c r="C53" s="2"/>
      <c r="D53" s="2"/>
      <c r="E53" s="2"/>
      <c r="F53" s="2"/>
      <c r="G53" s="2"/>
      <c r="H53" s="2"/>
      <c r="I53" s="2"/>
    </row>
    <row r="54" spans="1:9" ht="14.25" customHeight="1">
      <c r="A54" s="2"/>
      <c r="B54" s="2"/>
      <c r="C54" s="2"/>
      <c r="D54" s="2"/>
      <c r="E54" s="2"/>
      <c r="F54" s="2"/>
      <c r="G54" s="2"/>
      <c r="H54" s="2"/>
      <c r="I54" s="2"/>
    </row>
    <row r="55" spans="1:9" ht="14.25" customHeight="1">
      <c r="A55" s="2"/>
      <c r="B55" s="2"/>
      <c r="C55" s="2"/>
      <c r="D55" s="2"/>
      <c r="E55" s="2"/>
      <c r="F55" s="2"/>
      <c r="G55" s="2"/>
      <c r="H55" s="2"/>
      <c r="I55" s="2"/>
    </row>
    <row r="56" spans="1:9" ht="14.25" customHeight="1">
      <c r="A56" s="2"/>
      <c r="B56" s="2"/>
      <c r="C56" s="2"/>
      <c r="D56" s="2"/>
      <c r="E56" s="2"/>
      <c r="F56" s="2"/>
      <c r="G56" s="2"/>
      <c r="H56" s="2"/>
      <c r="I56" s="2"/>
    </row>
    <row r="57" spans="1:9" ht="14.25" customHeight="1">
      <c r="A57" s="2"/>
      <c r="B57" s="2"/>
      <c r="C57" s="2"/>
      <c r="D57" s="2"/>
      <c r="E57" s="2"/>
      <c r="F57" s="2"/>
      <c r="G57" s="2"/>
      <c r="H57" s="2"/>
      <c r="I57" s="2"/>
    </row>
    <row r="58" spans="1:9" ht="14.25" customHeight="1">
      <c r="A58" s="2"/>
      <c r="B58" s="2"/>
      <c r="C58" s="2"/>
      <c r="D58" s="2"/>
      <c r="E58" s="2"/>
      <c r="F58" s="2"/>
      <c r="G58" s="2"/>
      <c r="H58" s="2"/>
      <c r="I58" s="2"/>
    </row>
    <row r="59" spans="1:9" ht="14.25" customHeight="1">
      <c r="A59" s="2"/>
      <c r="B59" s="2"/>
      <c r="C59" s="2"/>
      <c r="D59" s="2"/>
      <c r="E59" s="2"/>
      <c r="F59" s="2"/>
      <c r="G59" s="2"/>
      <c r="H59" s="2"/>
      <c r="I59" s="2"/>
    </row>
    <row r="60" spans="1:9" ht="14.25" customHeight="1">
      <c r="A60" s="2"/>
      <c r="B60" s="2"/>
      <c r="C60" s="2"/>
      <c r="D60" s="2"/>
      <c r="E60" s="2"/>
      <c r="F60" s="2"/>
      <c r="G60" s="2"/>
      <c r="H60" s="2"/>
      <c r="I60" s="2"/>
    </row>
    <row r="61" spans="1:9" ht="14.25" customHeight="1">
      <c r="A61" s="2"/>
      <c r="B61" s="2"/>
      <c r="C61" s="2"/>
      <c r="D61" s="2"/>
      <c r="E61" s="2"/>
      <c r="F61" s="2"/>
      <c r="G61" s="2"/>
      <c r="H61" s="2"/>
      <c r="I61" s="2"/>
    </row>
    <row r="62" spans="1:9" ht="14.25" customHeight="1">
      <c r="A62" s="2"/>
      <c r="B62" s="2"/>
      <c r="C62" s="2"/>
      <c r="D62" s="2"/>
      <c r="E62" s="2"/>
      <c r="F62" s="2"/>
      <c r="G62" s="2"/>
      <c r="H62" s="2"/>
      <c r="I62" s="2"/>
    </row>
    <row r="63" spans="1:9" ht="14.25" customHeight="1">
      <c r="A63" s="2"/>
      <c r="B63" s="2"/>
      <c r="C63" s="2"/>
      <c r="D63" s="2"/>
      <c r="E63" s="2"/>
      <c r="F63" s="2"/>
      <c r="G63" s="2"/>
      <c r="H63" s="2"/>
      <c r="I63" s="2"/>
    </row>
    <row r="64" spans="1:9" ht="14.25" customHeight="1">
      <c r="A64" s="2"/>
      <c r="B64" s="2"/>
      <c r="C64" s="2"/>
      <c r="D64" s="2"/>
      <c r="E64" s="2"/>
      <c r="F64" s="2"/>
      <c r="G64" s="2"/>
      <c r="H64" s="2"/>
      <c r="I64" s="2"/>
    </row>
    <row r="65" spans="1:9" ht="14.25" customHeight="1">
      <c r="A65" s="2"/>
      <c r="B65" s="2"/>
      <c r="C65" s="2"/>
      <c r="D65" s="2"/>
      <c r="E65" s="2"/>
      <c r="F65" s="2"/>
      <c r="G65" s="2"/>
      <c r="H65" s="2"/>
      <c r="I65" s="2"/>
    </row>
    <row r="66" spans="1:9" ht="14.25" customHeight="1">
      <c r="A66" s="2"/>
      <c r="B66" s="2"/>
      <c r="C66" s="2"/>
      <c r="D66" s="2"/>
      <c r="E66" s="2"/>
      <c r="F66" s="2"/>
      <c r="G66" s="2"/>
      <c r="H66" s="2"/>
      <c r="I66" s="2"/>
    </row>
    <row r="67" spans="1:9" ht="14.25" customHeight="1">
      <c r="A67" s="2"/>
      <c r="B67" s="2"/>
      <c r="C67" s="2"/>
      <c r="D67" s="2"/>
      <c r="E67" s="2"/>
      <c r="F67" s="2"/>
      <c r="G67" s="2"/>
      <c r="H67" s="2"/>
      <c r="I67" s="2"/>
    </row>
    <row r="68" spans="1:9" ht="14.25" customHeight="1">
      <c r="A68" s="2"/>
      <c r="B68" s="2"/>
      <c r="C68" s="2"/>
      <c r="D68" s="2"/>
      <c r="E68" s="2"/>
      <c r="F68" s="2"/>
      <c r="G68" s="2"/>
      <c r="H68" s="2"/>
      <c r="I68" s="2"/>
    </row>
    <row r="69" spans="1:9" ht="14.25" customHeight="1">
      <c r="A69" s="2"/>
      <c r="B69" s="2"/>
      <c r="C69" s="2"/>
      <c r="D69" s="2"/>
      <c r="E69" s="2"/>
      <c r="F69" s="2"/>
      <c r="G69" s="2"/>
      <c r="H69" s="2"/>
      <c r="I69" s="2"/>
    </row>
    <row r="70" spans="1:9" ht="14.25" customHeight="1">
      <c r="A70" s="2"/>
      <c r="B70" s="2"/>
      <c r="C70" s="2"/>
      <c r="D70" s="2"/>
      <c r="E70" s="2"/>
      <c r="F70" s="2"/>
      <c r="G70" s="2"/>
      <c r="H70" s="2"/>
      <c r="I70" s="2"/>
    </row>
    <row r="71" spans="1:9" ht="14.25" customHeight="1">
      <c r="A71" s="2"/>
      <c r="B71" s="2"/>
      <c r="C71" s="2"/>
      <c r="D71" s="2"/>
      <c r="E71" s="2"/>
      <c r="F71" s="2"/>
      <c r="G71" s="2"/>
      <c r="H71" s="2"/>
      <c r="I71" s="2"/>
    </row>
    <row r="72" spans="1:9" ht="14.25" customHeight="1">
      <c r="A72" s="2"/>
      <c r="B72" s="2"/>
      <c r="C72" s="2"/>
      <c r="D72" s="2"/>
      <c r="E72" s="2"/>
      <c r="F72" s="2"/>
      <c r="G72" s="2"/>
      <c r="H72" s="2"/>
      <c r="I72" s="2"/>
    </row>
    <row r="73" spans="1:9" ht="14.25" customHeight="1">
      <c r="A73" s="2"/>
      <c r="B73" s="2"/>
      <c r="C73" s="2"/>
      <c r="D73" s="2"/>
      <c r="E73" s="2"/>
      <c r="F73" s="2"/>
      <c r="G73" s="2"/>
      <c r="H73" s="2"/>
      <c r="I73" s="2"/>
    </row>
    <row r="74" spans="1:9" ht="14.25" customHeight="1">
      <c r="A74" s="2"/>
      <c r="B74" s="2"/>
      <c r="C74" s="2"/>
      <c r="D74" s="2"/>
      <c r="E74" s="2"/>
      <c r="F74" s="2"/>
      <c r="G74" s="2"/>
      <c r="H74" s="2"/>
      <c r="I74" s="2"/>
    </row>
    <row r="75" spans="1:9" ht="14.25" customHeight="1">
      <c r="A75" s="2"/>
      <c r="B75" s="2"/>
      <c r="C75" s="2"/>
      <c r="D75" s="2"/>
      <c r="E75" s="2"/>
      <c r="F75" s="2"/>
      <c r="G75" s="2"/>
      <c r="H75" s="2"/>
      <c r="I75" s="2"/>
    </row>
    <row r="76" spans="1:9" ht="14.25" customHeight="1">
      <c r="A76" s="2"/>
      <c r="B76" s="2"/>
      <c r="C76" s="2"/>
      <c r="D76" s="2"/>
      <c r="E76" s="2"/>
      <c r="F76" s="2"/>
      <c r="G76" s="2"/>
      <c r="H76" s="2"/>
      <c r="I76" s="2"/>
    </row>
    <row r="77" spans="1:9" ht="14.25" customHeight="1">
      <c r="A77" s="2"/>
      <c r="B77" s="2"/>
      <c r="C77" s="2"/>
      <c r="D77" s="2"/>
      <c r="E77" s="2"/>
      <c r="F77" s="2"/>
      <c r="G77" s="2"/>
      <c r="H77" s="2"/>
      <c r="I77" s="2"/>
    </row>
    <row r="78" spans="1:9" ht="14.25" customHeight="1">
      <c r="A78" s="2"/>
      <c r="B78" s="2"/>
      <c r="C78" s="2"/>
      <c r="D78" s="2"/>
      <c r="E78" s="2"/>
      <c r="F78" s="2"/>
      <c r="G78" s="2"/>
      <c r="H78" s="2"/>
      <c r="I78" s="2"/>
    </row>
    <row r="79" spans="1:9" ht="14.25" customHeight="1">
      <c r="A79" s="2"/>
      <c r="B79" s="2"/>
      <c r="C79" s="2"/>
      <c r="D79" s="2"/>
      <c r="E79" s="2"/>
      <c r="F79" s="2"/>
      <c r="G79" s="2"/>
      <c r="H79" s="2"/>
      <c r="I79" s="2"/>
    </row>
    <row r="80" spans="1:9" ht="14.25" customHeight="1">
      <c r="A80" s="2"/>
      <c r="B80" s="2"/>
      <c r="C80" s="2"/>
      <c r="D80" s="2"/>
      <c r="E80" s="2"/>
      <c r="F80" s="2"/>
      <c r="G80" s="2"/>
      <c r="H80" s="2"/>
      <c r="I80" s="2"/>
    </row>
    <row r="81" spans="1:9" ht="14.25" customHeight="1">
      <c r="A81" s="2"/>
      <c r="B81" s="2"/>
      <c r="C81" s="2"/>
      <c r="D81" s="2"/>
      <c r="E81" s="2"/>
      <c r="F81" s="2"/>
      <c r="G81" s="2"/>
      <c r="H81" s="2"/>
      <c r="I81" s="2"/>
    </row>
    <row r="82" spans="1:9" ht="14.25" customHeight="1">
      <c r="A82" s="2"/>
      <c r="B82" s="2"/>
      <c r="C82" s="2"/>
      <c r="D82" s="2"/>
      <c r="E82" s="2"/>
      <c r="F82" s="2"/>
      <c r="G82" s="2"/>
      <c r="H82" s="2"/>
      <c r="I82" s="2"/>
    </row>
    <row r="83" spans="1:9" ht="14.25" customHeight="1">
      <c r="A83" s="2"/>
      <c r="B83" s="2"/>
      <c r="C83" s="2"/>
      <c r="D83" s="2"/>
      <c r="E83" s="2"/>
      <c r="F83" s="2"/>
      <c r="G83" s="2"/>
      <c r="H83" s="2"/>
      <c r="I83" s="2"/>
    </row>
    <row r="84" spans="1:9" ht="14.25" customHeight="1">
      <c r="A84" s="2"/>
      <c r="B84" s="2"/>
      <c r="C84" s="2"/>
      <c r="D84" s="2"/>
      <c r="E84" s="2"/>
      <c r="F84" s="2"/>
      <c r="G84" s="2"/>
      <c r="H84" s="2"/>
      <c r="I84" s="2"/>
    </row>
    <row r="85" spans="1:9" ht="14.25" customHeight="1">
      <c r="A85" s="2"/>
      <c r="B85" s="2"/>
      <c r="C85" s="2"/>
      <c r="D85" s="2"/>
      <c r="E85" s="2"/>
      <c r="F85" s="2"/>
      <c r="G85" s="2"/>
      <c r="H85" s="2"/>
      <c r="I85" s="2"/>
    </row>
    <row r="86" spans="1:9" ht="14.25" customHeight="1">
      <c r="A86" s="2"/>
      <c r="B86" s="2"/>
      <c r="C86" s="2"/>
      <c r="D86" s="2"/>
      <c r="E86" s="2"/>
      <c r="F86" s="2"/>
      <c r="G86" s="2"/>
      <c r="H86" s="2"/>
      <c r="I86" s="2"/>
    </row>
    <row r="87" spans="1:9" ht="14.25" customHeight="1">
      <c r="A87" s="2"/>
      <c r="B87" s="2"/>
      <c r="C87" s="2"/>
      <c r="D87" s="2"/>
      <c r="E87" s="2"/>
      <c r="F87" s="2"/>
      <c r="G87" s="2"/>
      <c r="H87" s="2"/>
      <c r="I87" s="2"/>
    </row>
    <row r="88" spans="1:9" ht="14.25" customHeight="1">
      <c r="A88" s="2"/>
      <c r="B88" s="2"/>
      <c r="C88" s="2"/>
      <c r="D88" s="2"/>
      <c r="E88" s="2"/>
      <c r="F88" s="2"/>
      <c r="G88" s="2"/>
      <c r="H88" s="2"/>
      <c r="I88" s="2"/>
    </row>
    <row r="89" spans="1:9" ht="14.25" customHeight="1">
      <c r="A89" s="2"/>
      <c r="B89" s="2"/>
      <c r="C89" s="2"/>
      <c r="D89" s="2"/>
      <c r="E89" s="2"/>
      <c r="F89" s="2"/>
      <c r="G89" s="2"/>
      <c r="H89" s="2"/>
      <c r="I89" s="2"/>
    </row>
    <row r="90" spans="1:9" ht="14.25" customHeight="1">
      <c r="A90" s="2"/>
      <c r="B90" s="2"/>
      <c r="C90" s="2"/>
      <c r="D90" s="2"/>
      <c r="E90" s="2"/>
      <c r="F90" s="2"/>
      <c r="G90" s="2"/>
      <c r="H90" s="2"/>
      <c r="I90" s="2"/>
    </row>
    <row r="91" spans="1:9" ht="14.25" customHeight="1">
      <c r="A91" s="2"/>
      <c r="B91" s="2"/>
      <c r="C91" s="2"/>
      <c r="D91" s="2"/>
      <c r="E91" s="2"/>
      <c r="F91" s="2"/>
      <c r="G91" s="2"/>
      <c r="H91" s="2"/>
      <c r="I91" s="2"/>
    </row>
    <row r="92" spans="1:9" ht="14.25" customHeight="1">
      <c r="A92" s="2"/>
      <c r="B92" s="2"/>
      <c r="C92" s="2"/>
      <c r="D92" s="2"/>
      <c r="E92" s="2"/>
      <c r="F92" s="2"/>
      <c r="G92" s="2"/>
      <c r="H92" s="2"/>
      <c r="I92" s="2"/>
    </row>
    <row r="93" spans="1:9" ht="14.25" customHeight="1">
      <c r="A93" s="2"/>
      <c r="B93" s="2"/>
      <c r="C93" s="2"/>
      <c r="D93" s="2"/>
      <c r="E93" s="2"/>
      <c r="F93" s="2"/>
      <c r="G93" s="2"/>
      <c r="H93" s="2"/>
      <c r="I93" s="2"/>
    </row>
    <row r="94" spans="1:9" ht="14.25" customHeight="1">
      <c r="A94" s="2"/>
      <c r="B94" s="2"/>
      <c r="C94" s="2"/>
      <c r="D94" s="2"/>
      <c r="E94" s="2"/>
      <c r="F94" s="2"/>
      <c r="G94" s="2"/>
      <c r="H94" s="2"/>
      <c r="I94" s="2"/>
    </row>
    <row r="95" spans="1:9" ht="14.25" customHeight="1">
      <c r="A95" s="2"/>
      <c r="B95" s="2"/>
      <c r="C95" s="2"/>
      <c r="D95" s="2"/>
      <c r="E95" s="2"/>
      <c r="F95" s="2"/>
      <c r="G95" s="2"/>
      <c r="H95" s="2"/>
      <c r="I95" s="2"/>
    </row>
    <row r="96" spans="1:9" ht="14.25" customHeight="1">
      <c r="A96" s="2"/>
      <c r="B96" s="2"/>
      <c r="C96" s="2"/>
      <c r="D96" s="2"/>
      <c r="E96" s="2"/>
      <c r="F96" s="2"/>
      <c r="G96" s="2"/>
      <c r="H96" s="2"/>
      <c r="I96" s="2"/>
    </row>
    <row r="97" spans="1:9" ht="14.25" customHeight="1">
      <c r="A97" s="2"/>
      <c r="B97" s="2"/>
      <c r="C97" s="2"/>
      <c r="D97" s="2"/>
      <c r="E97" s="2"/>
      <c r="F97" s="2"/>
      <c r="G97" s="2"/>
      <c r="H97" s="2"/>
      <c r="I97" s="2"/>
    </row>
    <row r="98" spans="1:9" ht="14.25" customHeight="1">
      <c r="A98" s="2"/>
      <c r="B98" s="2"/>
      <c r="C98" s="2"/>
      <c r="D98" s="2"/>
      <c r="E98" s="2"/>
      <c r="F98" s="2"/>
      <c r="G98" s="2"/>
      <c r="H98" s="2"/>
      <c r="I98" s="2"/>
    </row>
    <row r="99" spans="1:9" ht="14.25" customHeight="1">
      <c r="A99" s="2"/>
      <c r="B99" s="2"/>
      <c r="C99" s="2"/>
      <c r="D99" s="2"/>
      <c r="E99" s="2"/>
      <c r="F99" s="2"/>
      <c r="G99" s="2"/>
      <c r="H99" s="2"/>
      <c r="I99" s="2"/>
    </row>
    <row r="100" spans="1:9" ht="14.25" customHeight="1">
      <c r="A100" s="2"/>
      <c r="B100" s="2"/>
      <c r="C100" s="2"/>
      <c r="D100" s="2"/>
      <c r="E100" s="2"/>
      <c r="F100" s="2"/>
      <c r="G100" s="2"/>
      <c r="H100" s="2"/>
      <c r="I100" s="2"/>
    </row>
    <row r="101" spans="1:9" ht="14.25" customHeight="1">
      <c r="A101" s="2"/>
      <c r="B101" s="2"/>
      <c r="C101" s="2"/>
      <c r="D101" s="2"/>
      <c r="E101" s="2"/>
      <c r="F101" s="2"/>
      <c r="G101" s="2"/>
      <c r="H101" s="2"/>
      <c r="I101" s="2"/>
    </row>
    <row r="102" spans="1:9" ht="14.25" customHeight="1">
      <c r="A102" s="2"/>
      <c r="B102" s="2"/>
      <c r="C102" s="2"/>
      <c r="D102" s="2"/>
      <c r="E102" s="2"/>
      <c r="F102" s="2"/>
      <c r="G102" s="2"/>
      <c r="H102" s="2"/>
      <c r="I102" s="2"/>
    </row>
  </sheetData>
  <mergeCells count="28">
    <mergeCell ref="B8:D9"/>
    <mergeCell ref="F8:H8"/>
    <mergeCell ref="F9:H9"/>
    <mergeCell ref="B3:D3"/>
    <mergeCell ref="B4:D4"/>
    <mergeCell ref="F4:H6"/>
    <mergeCell ref="B5:D5"/>
    <mergeCell ref="B6:D6"/>
    <mergeCell ref="D12:E12"/>
    <mergeCell ref="B20:D22"/>
    <mergeCell ref="B23:C23"/>
    <mergeCell ref="B24:D24"/>
    <mergeCell ref="F24:H24"/>
    <mergeCell ref="B47:D47"/>
    <mergeCell ref="F47:H47"/>
    <mergeCell ref="B27:D27"/>
    <mergeCell ref="F27:H29"/>
    <mergeCell ref="B28:D28"/>
    <mergeCell ref="B29:D29"/>
    <mergeCell ref="B31:D32"/>
    <mergeCell ref="F31:H31"/>
    <mergeCell ref="F32:H32"/>
    <mergeCell ref="F21:H22"/>
    <mergeCell ref="F44:H45"/>
    <mergeCell ref="D35:E35"/>
    <mergeCell ref="B43:D45"/>
    <mergeCell ref="B46:C46"/>
    <mergeCell ref="B26:D26"/>
  </mergeCells>
  <conditionalFormatting sqref="F21:H22 F44:H45">
    <cfRule type="cellIs" dxfId="0" priority="1" operator="equal">
      <formula>0</formula>
    </cfRule>
  </conditionalFormatting>
  <pageMargins left="0.7" right="0.7" top="0.78740157499999996" bottom="0.78740157499999996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6</vt:i4>
      </vt:variant>
    </vt:vector>
  </HeadingPairs>
  <TitlesOfParts>
    <vt:vector size="6" baseType="lpstr">
      <vt:lpstr>Eingabedaten</vt:lpstr>
      <vt:lpstr>KOPIERVORLAGE</vt:lpstr>
      <vt:lpstr>Oktober</vt:lpstr>
      <vt:lpstr>November</vt:lpstr>
      <vt:lpstr>Dezember</vt:lpstr>
      <vt:lpstr>PRINT KW40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Sascha Moormann</dc:creator>
  <cp:lastModifiedBy>M. Stern</cp:lastModifiedBy>
  <cp:lastPrinted>2025-10-16T13:13:46Z</cp:lastPrinted>
  <dcterms:created xsi:type="dcterms:W3CDTF">2025-09-04T12:52:53Z</dcterms:created>
  <dcterms:modified xsi:type="dcterms:W3CDTF">2025-10-20T08:34:07Z</dcterms:modified>
</cp:coreProperties>
</file>